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busra\Downloads\"/>
    </mc:Choice>
  </mc:AlternateContent>
  <bookViews>
    <workbookView xWindow="290" yWindow="1580" windowWidth="22750" windowHeight="10660" tabRatio="790" activeTab="1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ContinuousTimeStatsByRep!$A$1:$L$37</definedName>
    <definedName name="ExternalData_1" localSheetId="4" hidden="1">CounterStatsByRep!$A$1:$G$2</definedName>
    <definedName name="ExternalData_1" localSheetId="2" hidden="1">DiscreteTimeStatsByRep!$A$1:$K$10</definedName>
    <definedName name="ExternalData_1" localSheetId="6" hidden="1">FrequencyStatsByRep!$A$1:$K$2</definedName>
    <definedName name="ExternalData_1" localSheetId="5" hidden="1">OutputStatsByRep!$A$1:$H$20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62913"/>
  <pivotCaches>
    <pivotCache cacheId="135" r:id="rId8"/>
    <pivotCache cacheId="141" r:id="rId9"/>
    <pivotCache cacheId="147" r:id="rId10"/>
    <pivotCache cacheId="153" r:id="rId11"/>
    <pivotCache cacheId="159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O3" i="20" s="1" a="1"/>
  <c r="O3" i="20" s="1"/>
  <c r="I6" i="20"/>
  <c r="I7" i="20"/>
  <c r="I8" i="20"/>
  <c r="I9" i="20"/>
  <c r="O17" i="20" s="1" a="1"/>
  <c r="O17" i="20" s="1"/>
  <c r="I10" i="20"/>
  <c r="I11" i="20"/>
  <c r="I12" i="20"/>
  <c r="O12" i="20" s="1" a="1"/>
  <c r="O12" i="20" s="1"/>
  <c r="I13" i="20"/>
  <c r="I14" i="20"/>
  <c r="I15" i="20"/>
  <c r="I16" i="20"/>
  <c r="I17" i="20"/>
  <c r="I18" i="20"/>
  <c r="I19" i="20"/>
  <c r="I20" i="20"/>
  <c r="J2" i="20" a="1"/>
  <c r="J2" i="20"/>
  <c r="J3" i="20" a="1"/>
  <c r="J3" i="20"/>
  <c r="J4" i="20" a="1"/>
  <c r="J4" i="20"/>
  <c r="J5" i="20" a="1"/>
  <c r="J5" i="20" s="1"/>
  <c r="J6" i="20" a="1"/>
  <c r="J6" i="20" s="1"/>
  <c r="J7" i="20" a="1"/>
  <c r="J7" i="20" s="1"/>
  <c r="J8" i="20" a="1"/>
  <c r="J8" i="20" s="1"/>
  <c r="J9" i="20" a="1"/>
  <c r="J9" i="20" s="1"/>
  <c r="J10" i="20" a="1"/>
  <c r="J10" i="20" s="1"/>
  <c r="J11" i="20" a="1"/>
  <c r="J11" i="20"/>
  <c r="J12" i="20" a="1"/>
  <c r="J12" i="20" s="1"/>
  <c r="J13" i="20" a="1"/>
  <c r="J13" i="20" s="1"/>
  <c r="J14" i="20" a="1"/>
  <c r="J14" i="20" s="1"/>
  <c r="J15" i="20" a="1"/>
  <c r="J15" i="20" s="1"/>
  <c r="J16" i="20" a="1"/>
  <c r="J16" i="20"/>
  <c r="J17" i="20" a="1"/>
  <c r="J17" i="20" s="1"/>
  <c r="J18" i="20" a="1"/>
  <c r="J18" i="20" s="1"/>
  <c r="J19" i="20" a="1"/>
  <c r="J19" i="20" s="1"/>
  <c r="J20" i="20" a="1"/>
  <c r="J20" i="20" s="1"/>
  <c r="M2" i="20" a="1"/>
  <c r="M2" i="20" s="1"/>
  <c r="M3" i="20" a="1"/>
  <c r="M3" i="20"/>
  <c r="M4" i="20" a="1"/>
  <c r="M4" i="20" s="1"/>
  <c r="M5" i="20" a="1"/>
  <c r="M5" i="20" s="1"/>
  <c r="M6" i="20" a="1"/>
  <c r="M6" i="20" s="1"/>
  <c r="M7" i="20" a="1"/>
  <c r="M7" i="20" s="1"/>
  <c r="M8" i="20" a="1"/>
  <c r="M8" i="20" s="1"/>
  <c r="M9" i="20" a="1"/>
  <c r="M9" i="20" s="1"/>
  <c r="M10" i="20" a="1"/>
  <c r="M10" i="20" s="1"/>
  <c r="M11" i="20" a="1"/>
  <c r="M11" i="20" s="1"/>
  <c r="M12" i="20" a="1"/>
  <c r="M12" i="20" s="1"/>
  <c r="M13" i="20" a="1"/>
  <c r="M13" i="20" s="1"/>
  <c r="M14" i="20" a="1"/>
  <c r="M14" i="20" s="1"/>
  <c r="M15" i="20" a="1"/>
  <c r="M15" i="20"/>
  <c r="M16" i="20" a="1"/>
  <c r="M16" i="20"/>
  <c r="M17" i="20" a="1"/>
  <c r="M17" i="20" s="1"/>
  <c r="M18" i="20" a="1"/>
  <c r="M18" i="20" s="1"/>
  <c r="M19" i="20" a="1"/>
  <c r="M19" i="20" s="1"/>
  <c r="M20" i="20" a="1"/>
  <c r="M20" i="20" s="1"/>
  <c r="M2" i="18"/>
  <c r="M3" i="18"/>
  <c r="M4" i="18"/>
  <c r="M5" i="18"/>
  <c r="O2" i="18" s="1" a="1"/>
  <c r="O2" i="18" s="1"/>
  <c r="M6" i="18"/>
  <c r="O9" i="18" s="1" a="1"/>
  <c r="O9" i="18" s="1"/>
  <c r="M7" i="18"/>
  <c r="T15" i="18" s="1" a="1"/>
  <c r="T15" i="18" s="1"/>
  <c r="M8" i="18"/>
  <c r="T8" i="18" s="1" a="1"/>
  <c r="T8" i="18" s="1"/>
  <c r="M9" i="18"/>
  <c r="M10" i="18"/>
  <c r="M11" i="18"/>
  <c r="M12" i="18"/>
  <c r="T37" i="18" s="1" a="1"/>
  <c r="T37" i="18" s="1"/>
  <c r="M13" i="18"/>
  <c r="M14" i="18"/>
  <c r="M15" i="18"/>
  <c r="M16" i="18"/>
  <c r="M17" i="18"/>
  <c r="M18" i="18"/>
  <c r="M19" i="18"/>
  <c r="M20" i="18"/>
  <c r="M21" i="18"/>
  <c r="M22" i="18"/>
  <c r="T22" i="18" s="1" a="1"/>
  <c r="T22" i="18" s="1"/>
  <c r="M23" i="18"/>
  <c r="M24" i="18"/>
  <c r="M25" i="18"/>
  <c r="M26" i="18"/>
  <c r="S26" i="18" s="1" a="1"/>
  <c r="S26" i="18" s="1"/>
  <c r="M27" i="18"/>
  <c r="M28" i="18"/>
  <c r="M29" i="18"/>
  <c r="M30" i="18"/>
  <c r="M31" i="18"/>
  <c r="M32" i="18"/>
  <c r="M33" i="18"/>
  <c r="M34" i="18"/>
  <c r="M35" i="18"/>
  <c r="M36" i="18"/>
  <c r="P36" i="18" s="1" a="1"/>
  <c r="P36" i="18" s="1"/>
  <c r="M37" i="18"/>
  <c r="N2" i="18" a="1"/>
  <c r="N2" i="18"/>
  <c r="N3" i="18" a="1"/>
  <c r="N3" i="18" s="1"/>
  <c r="N4" i="18" a="1"/>
  <c r="N4" i="18" s="1"/>
  <c r="N5" i="18" a="1"/>
  <c r="N5" i="18" s="1"/>
  <c r="N6" i="18" a="1"/>
  <c r="N6" i="18" s="1"/>
  <c r="U6" i="18" s="1"/>
  <c r="N7" i="18" a="1"/>
  <c r="N7" i="18" s="1"/>
  <c r="U7" i="18" s="1"/>
  <c r="N8" i="18" a="1"/>
  <c r="N8" i="18" s="1"/>
  <c r="N9" i="18" a="1"/>
  <c r="N9" i="18"/>
  <c r="U9" i="18" s="1"/>
  <c r="N10" i="18" a="1"/>
  <c r="N10" i="18" s="1"/>
  <c r="N11" i="18" a="1"/>
  <c r="N11" i="18" s="1"/>
  <c r="N12" i="18" a="1"/>
  <c r="N12" i="18" s="1"/>
  <c r="N13" i="18" a="1"/>
  <c r="N13" i="18"/>
  <c r="U13" i="18" s="1"/>
  <c r="N14" i="18" a="1"/>
  <c r="N14" i="18"/>
  <c r="N15" i="18" a="1"/>
  <c r="N15" i="18" s="1"/>
  <c r="N16" i="18" a="1"/>
  <c r="N16" i="18"/>
  <c r="N17" i="18" a="1"/>
  <c r="N17" i="18" s="1"/>
  <c r="N18" i="18" a="1"/>
  <c r="N18" i="18" s="1"/>
  <c r="N19" i="18" a="1"/>
  <c r="N19" i="18" s="1"/>
  <c r="N20" i="18" a="1"/>
  <c r="N20" i="18" s="1"/>
  <c r="N21" i="18" a="1"/>
  <c r="N21" i="18" s="1"/>
  <c r="U21" i="18" s="1"/>
  <c r="N22" i="18" a="1"/>
  <c r="N22" i="18" s="1"/>
  <c r="N23" i="18" a="1"/>
  <c r="N23" i="18"/>
  <c r="U23" i="18" s="1"/>
  <c r="N24" i="18" a="1"/>
  <c r="N24" i="18" s="1"/>
  <c r="N25" i="18" a="1"/>
  <c r="N25" i="18" s="1"/>
  <c r="N26" i="18" a="1"/>
  <c r="N26" i="18" s="1"/>
  <c r="N27" i="18" a="1"/>
  <c r="N27" i="18" s="1"/>
  <c r="N28" i="18" a="1"/>
  <c r="N28" i="18"/>
  <c r="N29" i="18" a="1"/>
  <c r="N29" i="18" s="1"/>
  <c r="N30" i="18" a="1"/>
  <c r="N30" i="18"/>
  <c r="N31" i="18" a="1"/>
  <c r="N31" i="18" s="1"/>
  <c r="N32" i="18" a="1"/>
  <c r="N32" i="18" s="1"/>
  <c r="N33" i="18" a="1"/>
  <c r="N33" i="18" s="1"/>
  <c r="N34" i="18" a="1"/>
  <c r="N34" i="18" s="1"/>
  <c r="N35" i="18" a="1"/>
  <c r="N35" i="18" s="1"/>
  <c r="U35" i="18" s="1"/>
  <c r="N36" i="18" a="1"/>
  <c r="N36" i="18" s="1"/>
  <c r="N37" i="18" a="1"/>
  <c r="N37" i="18" s="1"/>
  <c r="U37" i="18" s="1"/>
  <c r="P29" i="18" a="1"/>
  <c r="P29" i="18" s="1"/>
  <c r="Q2" i="18" a="1"/>
  <c r="Q2" i="18" s="1"/>
  <c r="Q3" i="18" a="1"/>
  <c r="Q3" i="18" s="1"/>
  <c r="Q4" i="18" a="1"/>
  <c r="Q4" i="18" s="1"/>
  <c r="Q5" i="18" a="1"/>
  <c r="Q5" i="18" s="1"/>
  <c r="Q6" i="18" a="1"/>
  <c r="Q6" i="18"/>
  <c r="Q7" i="18" a="1"/>
  <c r="Q7" i="18" s="1"/>
  <c r="Q8" i="18" a="1"/>
  <c r="Q8" i="18" s="1"/>
  <c r="Q9" i="18" a="1"/>
  <c r="Q9" i="18" s="1"/>
  <c r="Q10" i="18" a="1"/>
  <c r="Q10" i="18" s="1"/>
  <c r="Q11" i="18" a="1"/>
  <c r="Q11" i="18" s="1"/>
  <c r="Q12" i="18" a="1"/>
  <c r="Q12" i="18" s="1"/>
  <c r="Q13" i="18" a="1"/>
  <c r="Q13" i="18" s="1"/>
  <c r="Q14" i="18" a="1"/>
  <c r="Q14" i="18" s="1"/>
  <c r="Q15" i="18" a="1"/>
  <c r="Q15" i="18" s="1"/>
  <c r="Q16" i="18" a="1"/>
  <c r="Q16" i="18" s="1"/>
  <c r="Q17" i="18" a="1"/>
  <c r="Q17" i="18" s="1"/>
  <c r="Q18" i="18" a="1"/>
  <c r="Q18" i="18" s="1"/>
  <c r="Q19" i="18" a="1"/>
  <c r="Q19" i="18" s="1"/>
  <c r="Q20" i="18" a="1"/>
  <c r="Q20" i="18"/>
  <c r="Q21" i="18" a="1"/>
  <c r="Q21" i="18" s="1"/>
  <c r="Q22" i="18" a="1"/>
  <c r="Q22" i="18" s="1"/>
  <c r="Q23" i="18" a="1"/>
  <c r="Q23" i="18" s="1"/>
  <c r="Q24" i="18" a="1"/>
  <c r="Q24" i="18" s="1"/>
  <c r="Q25" i="18" a="1"/>
  <c r="Q25" i="18" s="1"/>
  <c r="Q26" i="18" a="1"/>
  <c r="Q26" i="18" s="1"/>
  <c r="Q27" i="18" a="1"/>
  <c r="Q27" i="18" s="1"/>
  <c r="Q28" i="18" a="1"/>
  <c r="Q28" i="18" s="1"/>
  <c r="Q29" i="18" a="1"/>
  <c r="Q29" i="18" s="1"/>
  <c r="Q30" i="18" a="1"/>
  <c r="Q30" i="18" s="1"/>
  <c r="Q31" i="18" a="1"/>
  <c r="Q31" i="18" s="1"/>
  <c r="Q32" i="18" a="1"/>
  <c r="Q32" i="18" s="1"/>
  <c r="Q33" i="18" a="1"/>
  <c r="Q33" i="18" s="1"/>
  <c r="Q34" i="18" a="1"/>
  <c r="Q34" i="18" s="1"/>
  <c r="Q35" i="18" a="1"/>
  <c r="Q35" i="18" s="1"/>
  <c r="Q36" i="18" a="1"/>
  <c r="Q36" i="18" s="1"/>
  <c r="Q37" i="18" a="1"/>
  <c r="Q37" i="18" s="1"/>
  <c r="U14" i="18"/>
  <c r="U28" i="18"/>
  <c r="L2" i="17"/>
  <c r="L3" i="17"/>
  <c r="L4" i="17"/>
  <c r="L5" i="17"/>
  <c r="L6" i="17"/>
  <c r="L7" i="17"/>
  <c r="L8" i="17"/>
  <c r="L9" i="17"/>
  <c r="L10" i="17"/>
  <c r="R10" i="17" s="1" a="1"/>
  <c r="R10" i="17" s="1"/>
  <c r="M2" i="17" a="1"/>
  <c r="M2" i="17"/>
  <c r="M3" i="17" a="1"/>
  <c r="M3" i="17" s="1"/>
  <c r="M4" i="17" a="1"/>
  <c r="M4" i="17" s="1"/>
  <c r="M5" i="17" a="1"/>
  <c r="M5" i="17" s="1"/>
  <c r="M6" i="17" a="1"/>
  <c r="M6" i="17" s="1"/>
  <c r="M7" i="17" a="1"/>
  <c r="M7" i="17" s="1"/>
  <c r="M8" i="17" a="1"/>
  <c r="M8" i="17"/>
  <c r="W8" i="17" s="1"/>
  <c r="M9" i="17" a="1"/>
  <c r="M9" i="17"/>
  <c r="M10" i="17" a="1"/>
  <c r="M10" i="17" s="1"/>
  <c r="N7" i="17" a="1"/>
  <c r="N7" i="17" s="1"/>
  <c r="O5" i="17" a="1"/>
  <c r="O5" i="17" s="1"/>
  <c r="P2" i="17" a="1"/>
  <c r="P2" i="17" s="1"/>
  <c r="P3" i="17" a="1"/>
  <c r="P3" i="17" s="1"/>
  <c r="P4" i="17" a="1"/>
  <c r="P4" i="17" s="1"/>
  <c r="P5" i="17" a="1"/>
  <c r="P5" i="17" s="1"/>
  <c r="P6" i="17" a="1"/>
  <c r="P6" i="17" s="1"/>
  <c r="P7" i="17" a="1"/>
  <c r="P7" i="17" s="1"/>
  <c r="P8" i="17" a="1"/>
  <c r="P8" i="17"/>
  <c r="P9" i="17" a="1"/>
  <c r="P9" i="17" s="1"/>
  <c r="P10" i="17" a="1"/>
  <c r="P10" i="17"/>
  <c r="U4" i="17" a="1"/>
  <c r="U4" i="17" s="1"/>
  <c r="U5" i="17" a="1"/>
  <c r="U5" i="17" s="1"/>
  <c r="V2" i="17" a="1"/>
  <c r="V2" i="17" s="1"/>
  <c r="G2" i="16"/>
  <c r="P14" i="20" l="1" a="1"/>
  <c r="P14" i="20" s="1"/>
  <c r="P19" i="20" a="1"/>
  <c r="P19" i="20" s="1"/>
  <c r="K9" i="20" a="1"/>
  <c r="K9" i="20" s="1"/>
  <c r="P7" i="20" a="1"/>
  <c r="P7" i="20" s="1"/>
  <c r="O16" i="20" a="1"/>
  <c r="O16" i="20" s="1"/>
  <c r="L11" i="20" a="1"/>
  <c r="L11" i="20" s="1"/>
  <c r="N11" i="20" s="1"/>
  <c r="P12" i="20" a="1"/>
  <c r="P12" i="20" s="1"/>
  <c r="O5" i="20" a="1"/>
  <c r="O5" i="20" s="1"/>
  <c r="P5" i="20" a="1"/>
  <c r="P5" i="20" s="1"/>
  <c r="O10" i="20" a="1"/>
  <c r="O10" i="20" s="1"/>
  <c r="O19" i="20" a="1"/>
  <c r="O19" i="20" s="1"/>
  <c r="P4" i="20" a="1"/>
  <c r="P4" i="20" s="1"/>
  <c r="L17" i="20" a="1"/>
  <c r="L17" i="20" s="1"/>
  <c r="N17" i="20" s="1"/>
  <c r="L10" i="20" a="1"/>
  <c r="L10" i="20" s="1"/>
  <c r="N10" i="20" s="1"/>
  <c r="L3" i="20" a="1"/>
  <c r="L3" i="20" s="1"/>
  <c r="N3" i="20" s="1"/>
  <c r="K15" i="20" a="1"/>
  <c r="K15" i="20" s="1"/>
  <c r="K8" i="20" a="1"/>
  <c r="K8" i="20" s="1"/>
  <c r="L8" i="20" a="1"/>
  <c r="L8" i="20" s="1"/>
  <c r="N8" i="20" s="1"/>
  <c r="P20" i="20" a="1"/>
  <c r="P20" i="20" s="1"/>
  <c r="P13" i="20" a="1"/>
  <c r="P13" i="20" s="1"/>
  <c r="P6" i="20" a="1"/>
  <c r="P6" i="20" s="1"/>
  <c r="O18" i="20" a="1"/>
  <c r="O18" i="20" s="1"/>
  <c r="O11" i="20" a="1"/>
  <c r="O11" i="20" s="1"/>
  <c r="O4" i="20" a="1"/>
  <c r="O4" i="20" s="1"/>
  <c r="L16" i="20" a="1"/>
  <c r="L16" i="20" s="1"/>
  <c r="N16" i="20" s="1"/>
  <c r="L9" i="20" a="1"/>
  <c r="L9" i="20" s="1"/>
  <c r="N9" i="20" s="1"/>
  <c r="L2" i="20" a="1"/>
  <c r="L2" i="20" s="1"/>
  <c r="N2" i="20" s="1"/>
  <c r="K14" i="20" a="1"/>
  <c r="K14" i="20" s="1"/>
  <c r="K7" i="20" a="1"/>
  <c r="K7" i="20" s="1"/>
  <c r="O9" i="20" a="1"/>
  <c r="O9" i="20" s="1"/>
  <c r="L14" i="20" a="1"/>
  <c r="L14" i="20" s="1"/>
  <c r="N14" i="20" s="1"/>
  <c r="L7" i="20" a="1"/>
  <c r="L7" i="20" s="1"/>
  <c r="N7" i="20" s="1"/>
  <c r="K19" i="20" a="1"/>
  <c r="K19" i="20" s="1"/>
  <c r="K12" i="20" a="1"/>
  <c r="K12" i="20" s="1"/>
  <c r="K5" i="20" a="1"/>
  <c r="K5" i="20" s="1"/>
  <c r="K20" i="20" a="1"/>
  <c r="K20" i="20" s="1"/>
  <c r="P3" i="20" a="1"/>
  <c r="P3" i="20" s="1"/>
  <c r="L13" i="20" a="1"/>
  <c r="L13" i="20" s="1"/>
  <c r="N13" i="20" s="1"/>
  <c r="L6" i="20" a="1"/>
  <c r="L6" i="20" s="1"/>
  <c r="N6" i="20" s="1"/>
  <c r="K18" i="20" a="1"/>
  <c r="K18" i="20" s="1"/>
  <c r="K11" i="20" a="1"/>
  <c r="K11" i="20" s="1"/>
  <c r="K4" i="20" a="1"/>
  <c r="K4" i="20" s="1"/>
  <c r="L15" i="20" a="1"/>
  <c r="L15" i="20" s="1"/>
  <c r="N15" i="20" s="1"/>
  <c r="O2" i="20" a="1"/>
  <c r="O2" i="20" s="1"/>
  <c r="L20" i="20" a="1"/>
  <c r="L20" i="20" s="1"/>
  <c r="N20" i="20" s="1"/>
  <c r="P16" i="20" a="1"/>
  <c r="P16" i="20" s="1"/>
  <c r="P9" i="20" a="1"/>
  <c r="P9" i="20" s="1"/>
  <c r="P2" i="20" a="1"/>
  <c r="P2" i="20" s="1"/>
  <c r="O14" i="20" a="1"/>
  <c r="O14" i="20" s="1"/>
  <c r="O7" i="20" a="1"/>
  <c r="O7" i="20" s="1"/>
  <c r="K6" i="20" a="1"/>
  <c r="K6" i="20" s="1"/>
  <c r="P17" i="20" a="1"/>
  <c r="P17" i="20" s="1"/>
  <c r="P10" i="20" a="1"/>
  <c r="P10" i="20" s="1"/>
  <c r="L19" i="20" a="1"/>
  <c r="L19" i="20" s="1"/>
  <c r="N19" i="20" s="1"/>
  <c r="L12" i="20" a="1"/>
  <c r="L12" i="20" s="1"/>
  <c r="N12" i="20" s="1"/>
  <c r="L5" i="20" a="1"/>
  <c r="L5" i="20" s="1"/>
  <c r="N5" i="20" s="1"/>
  <c r="K17" i="20" a="1"/>
  <c r="K17" i="20" s="1"/>
  <c r="K10" i="20" a="1"/>
  <c r="K10" i="20" s="1"/>
  <c r="K3" i="20" a="1"/>
  <c r="K3" i="20" s="1"/>
  <c r="P18" i="20" a="1"/>
  <c r="P18" i="20" s="1"/>
  <c r="P11" i="20" a="1"/>
  <c r="P11" i="20" s="1"/>
  <c r="O15" i="20" a="1"/>
  <c r="O15" i="20" s="1"/>
  <c r="P8" i="20" a="1"/>
  <c r="P8" i="20" s="1"/>
  <c r="O20" i="20" a="1"/>
  <c r="O20" i="20" s="1"/>
  <c r="O13" i="20" a="1"/>
  <c r="O13" i="20" s="1"/>
  <c r="O6" i="20" a="1"/>
  <c r="O6" i="20" s="1"/>
  <c r="K13" i="20" a="1"/>
  <c r="K13" i="20" s="1"/>
  <c r="O8" i="20" a="1"/>
  <c r="O8" i="20" s="1"/>
  <c r="L18" i="20" a="1"/>
  <c r="L18" i="20" s="1"/>
  <c r="N18" i="20" s="1"/>
  <c r="K16" i="20" a="1"/>
  <c r="K16" i="20" s="1"/>
  <c r="K2" i="20" a="1"/>
  <c r="K2" i="20" s="1"/>
  <c r="P15" i="20" a="1"/>
  <c r="P15" i="20" s="1"/>
  <c r="L4" i="20" a="1"/>
  <c r="L4" i="20" s="1"/>
  <c r="N4" i="20" s="1"/>
  <c r="O32" i="18" a="1"/>
  <c r="O32" i="18" s="1"/>
  <c r="S16" i="18" a="1"/>
  <c r="S16" i="18" s="1"/>
  <c r="O25" i="18" a="1"/>
  <c r="O25" i="18" s="1"/>
  <c r="O30" i="18" a="1"/>
  <c r="O30" i="18" s="1"/>
  <c r="S9" i="18" a="1"/>
  <c r="S9" i="18" s="1"/>
  <c r="O33" i="18" a="1"/>
  <c r="O33" i="18" s="1"/>
  <c r="S2" i="18" a="1"/>
  <c r="S2" i="18" s="1"/>
  <c r="P22" i="18" a="1"/>
  <c r="P22" i="18" s="1"/>
  <c r="P15" i="18" a="1"/>
  <c r="P15" i="18" s="1"/>
  <c r="T30" i="18" a="1"/>
  <c r="T30" i="18" s="1"/>
  <c r="P8" i="18" a="1"/>
  <c r="P8" i="18" s="1"/>
  <c r="R8" i="18" s="1"/>
  <c r="T36" i="18" a="1"/>
  <c r="T36" i="18" s="1"/>
  <c r="O23" i="18" a="1"/>
  <c r="O23" i="18" s="1"/>
  <c r="O16" i="18" a="1"/>
  <c r="O16" i="18" s="1"/>
  <c r="O8" i="18" a="1"/>
  <c r="O8" i="18" s="1"/>
  <c r="S37" i="18" a="1"/>
  <c r="S37" i="18" s="1"/>
  <c r="T29" i="18" a="1"/>
  <c r="T29" i="18" s="1"/>
  <c r="O4" i="18" a="1"/>
  <c r="O4" i="18" s="1"/>
  <c r="O12" i="18" a="1"/>
  <c r="O12" i="18" s="1"/>
  <c r="O37" i="18" a="1"/>
  <c r="O37" i="18" s="1"/>
  <c r="S30" i="18" a="1"/>
  <c r="S30" i="18" s="1"/>
  <c r="S23" i="18" a="1"/>
  <c r="S23" i="18" s="1"/>
  <c r="U3" i="18"/>
  <c r="U26" i="18"/>
  <c r="R15" i="18"/>
  <c r="U15" i="18"/>
  <c r="U36" i="18"/>
  <c r="R36" i="18"/>
  <c r="U25" i="18"/>
  <c r="U5" i="18"/>
  <c r="U24" i="18"/>
  <c r="U4" i="18"/>
  <c r="U34" i="18"/>
  <c r="U11" i="18"/>
  <c r="U19" i="18"/>
  <c r="R29" i="18"/>
  <c r="U29" i="18"/>
  <c r="U18" i="18"/>
  <c r="U8" i="18"/>
  <c r="U33" i="18"/>
  <c r="U22" i="18"/>
  <c r="R22" i="18"/>
  <c r="U12" i="18"/>
  <c r="U32" i="18"/>
  <c r="U31" i="18"/>
  <c r="U10" i="18"/>
  <c r="R30" i="18"/>
  <c r="U20" i="18"/>
  <c r="U17" i="18"/>
  <c r="U27" i="18"/>
  <c r="T7" i="18" a="1"/>
  <c r="T7" i="18" s="1"/>
  <c r="U30" i="18"/>
  <c r="U16" i="18"/>
  <c r="U2" i="18"/>
  <c r="T17" i="18" a="1"/>
  <c r="T17" i="18" s="1"/>
  <c r="T3" i="18" a="1"/>
  <c r="T3" i="18" s="1"/>
  <c r="S18" i="18" a="1"/>
  <c r="S18" i="18" s="1"/>
  <c r="S11" i="18" a="1"/>
  <c r="S11" i="18" s="1"/>
  <c r="P31" i="18" a="1"/>
  <c r="P31" i="18" s="1"/>
  <c r="R31" i="18" s="1"/>
  <c r="P17" i="18" a="1"/>
  <c r="P17" i="18" s="1"/>
  <c r="R17" i="18" s="1"/>
  <c r="P3" i="18" a="1"/>
  <c r="P3" i="18" s="1"/>
  <c r="R3" i="18" s="1"/>
  <c r="O18" i="18" a="1"/>
  <c r="O18" i="18" s="1"/>
  <c r="O11" i="18" a="1"/>
  <c r="O11" i="18" s="1"/>
  <c r="T16" i="18" a="1"/>
  <c r="T16" i="18" s="1"/>
  <c r="T2" i="18" a="1"/>
  <c r="T2" i="18" s="1"/>
  <c r="S24" i="18" a="1"/>
  <c r="S24" i="18" s="1"/>
  <c r="S10" i="18" a="1"/>
  <c r="S10" i="18" s="1"/>
  <c r="P37" i="18" a="1"/>
  <c r="P37" i="18" s="1"/>
  <c r="R37" i="18" s="1"/>
  <c r="P23" i="18" a="1"/>
  <c r="P23" i="18" s="1"/>
  <c r="R23" i="18" s="1"/>
  <c r="P9" i="18" a="1"/>
  <c r="P9" i="18" s="1"/>
  <c r="R9" i="18" s="1"/>
  <c r="O31" i="18" a="1"/>
  <c r="O31" i="18" s="1"/>
  <c r="O17" i="18" a="1"/>
  <c r="O17" i="18" s="1"/>
  <c r="O3" i="18" a="1"/>
  <c r="O3" i="18" s="1"/>
  <c r="T23" i="18" a="1"/>
  <c r="T23" i="18" s="1"/>
  <c r="T9" i="18" a="1"/>
  <c r="T9" i="18" s="1"/>
  <c r="S31" i="18" a="1"/>
  <c r="S31" i="18" s="1"/>
  <c r="S17" i="18" a="1"/>
  <c r="S17" i="18" s="1"/>
  <c r="S3" i="18" a="1"/>
  <c r="S3" i="18" s="1"/>
  <c r="P30" i="18" a="1"/>
  <c r="P30" i="18" s="1"/>
  <c r="P16" i="18" a="1"/>
  <c r="P16" i="18" s="1"/>
  <c r="R16" i="18" s="1"/>
  <c r="P2" i="18" a="1"/>
  <c r="P2" i="18" s="1"/>
  <c r="R2" i="18" s="1"/>
  <c r="O24" i="18" a="1"/>
  <c r="O24" i="18" s="1"/>
  <c r="O10" i="18" a="1"/>
  <c r="O10" i="18" s="1"/>
  <c r="T14" i="18" a="1"/>
  <c r="T14" i="18" s="1"/>
  <c r="P35" i="18" a="1"/>
  <c r="P35" i="18" s="1"/>
  <c r="R35" i="18" s="1"/>
  <c r="P28" i="18" a="1"/>
  <c r="P28" i="18" s="1"/>
  <c r="R28" i="18" s="1"/>
  <c r="P21" i="18" a="1"/>
  <c r="P21" i="18" s="1"/>
  <c r="R21" i="18" s="1"/>
  <c r="P14" i="18" a="1"/>
  <c r="P14" i="18" s="1"/>
  <c r="R14" i="18" s="1"/>
  <c r="P7" i="18" a="1"/>
  <c r="P7" i="18" s="1"/>
  <c r="R7" i="18" s="1"/>
  <c r="O36" i="18" a="1"/>
  <c r="O36" i="18" s="1"/>
  <c r="O29" i="18" a="1"/>
  <c r="O29" i="18" s="1"/>
  <c r="O22" i="18" a="1"/>
  <c r="O22" i="18" s="1"/>
  <c r="O15" i="18" a="1"/>
  <c r="O15" i="18" s="1"/>
  <c r="T21" i="18" a="1"/>
  <c r="T21" i="18" s="1"/>
  <c r="S8" i="18" a="1"/>
  <c r="S8" i="18" s="1"/>
  <c r="T6" i="18" a="1"/>
  <c r="T6" i="18" s="1"/>
  <c r="S7" i="18" a="1"/>
  <c r="S7" i="18" s="1"/>
  <c r="P13" i="18" a="1"/>
  <c r="P13" i="18" s="1"/>
  <c r="R13" i="18" s="1"/>
  <c r="P6" i="18" a="1"/>
  <c r="P6" i="18" s="1"/>
  <c r="R6" i="18" s="1"/>
  <c r="O35" i="18" a="1"/>
  <c r="O35" i="18" s="1"/>
  <c r="O28" i="18" a="1"/>
  <c r="O28" i="18" s="1"/>
  <c r="O21" i="18" a="1"/>
  <c r="O21" i="18" s="1"/>
  <c r="O14" i="18" a="1"/>
  <c r="O14" i="18" s="1"/>
  <c r="O7" i="18" a="1"/>
  <c r="O7" i="18" s="1"/>
  <c r="T35" i="18" a="1"/>
  <c r="T35" i="18" s="1"/>
  <c r="S15" i="18" a="1"/>
  <c r="S15" i="18" s="1"/>
  <c r="T13" i="18" a="1"/>
  <c r="T13" i="18" s="1"/>
  <c r="S21" i="18" a="1"/>
  <c r="S21" i="18" s="1"/>
  <c r="P20" i="18" a="1"/>
  <c r="P20" i="18" s="1"/>
  <c r="R20" i="18" s="1"/>
  <c r="S34" i="18" a="1"/>
  <c r="S34" i="18" s="1"/>
  <c r="S20" i="18" a="1"/>
  <c r="S20" i="18" s="1"/>
  <c r="S13" i="18" a="1"/>
  <c r="S13" i="18" s="1"/>
  <c r="P19" i="18" a="1"/>
  <c r="P19" i="18" s="1"/>
  <c r="R19" i="18" s="1"/>
  <c r="P12" i="18" a="1"/>
  <c r="P12" i="18" s="1"/>
  <c r="R12" i="18" s="1"/>
  <c r="O34" i="18" a="1"/>
  <c r="O34" i="18" s="1"/>
  <c r="O27" i="18" a="1"/>
  <c r="O27" i="18" s="1"/>
  <c r="O13" i="18" a="1"/>
  <c r="O13" i="18" s="1"/>
  <c r="T28" i="18" a="1"/>
  <c r="T28" i="18" s="1"/>
  <c r="S22" i="18" a="1"/>
  <c r="S22" i="18" s="1"/>
  <c r="T27" i="18" a="1"/>
  <c r="T27" i="18" s="1"/>
  <c r="S28" i="18" a="1"/>
  <c r="S28" i="18" s="1"/>
  <c r="P27" i="18" a="1"/>
  <c r="P27" i="18" s="1"/>
  <c r="R27" i="18" s="1"/>
  <c r="T5" i="18" a="1"/>
  <c r="T5" i="18" s="1"/>
  <c r="S27" i="18" a="1"/>
  <c r="S27" i="18" s="1"/>
  <c r="S6" i="18" a="1"/>
  <c r="S6" i="18" s="1"/>
  <c r="P33" i="18" a="1"/>
  <c r="P33" i="18" s="1"/>
  <c r="R33" i="18" s="1"/>
  <c r="P26" i="18" a="1"/>
  <c r="P26" i="18" s="1"/>
  <c r="R26" i="18" s="1"/>
  <c r="P5" i="18" a="1"/>
  <c r="P5" i="18" s="1"/>
  <c r="R5" i="18" s="1"/>
  <c r="O20" i="18" a="1"/>
  <c r="O20" i="18" s="1"/>
  <c r="O6" i="18" a="1"/>
  <c r="O6" i="18" s="1"/>
  <c r="S29" i="18" a="1"/>
  <c r="S29" i="18" s="1"/>
  <c r="T20" i="18" a="1"/>
  <c r="T20" i="18" s="1"/>
  <c r="S14" i="18" a="1"/>
  <c r="S14" i="18" s="1"/>
  <c r="T33" i="18" a="1"/>
  <c r="T33" i="18" s="1"/>
  <c r="T26" i="18" a="1"/>
  <c r="T26" i="18" s="1"/>
  <c r="T32" i="18" a="1"/>
  <c r="T32" i="18" s="1"/>
  <c r="T25" i="18" a="1"/>
  <c r="T25" i="18" s="1"/>
  <c r="T4" i="18" a="1"/>
  <c r="T4" i="18" s="1"/>
  <c r="S19" i="18" a="1"/>
  <c r="S19" i="18" s="1"/>
  <c r="S12" i="18" a="1"/>
  <c r="S12" i="18" s="1"/>
  <c r="P18" i="18" a="1"/>
  <c r="P18" i="18" s="1"/>
  <c r="R18" i="18" s="1"/>
  <c r="P11" i="18" a="1"/>
  <c r="P11" i="18" s="1"/>
  <c r="R11" i="18" s="1"/>
  <c r="O26" i="18" a="1"/>
  <c r="O26" i="18" s="1"/>
  <c r="O5" i="18" a="1"/>
  <c r="O5" i="18" s="1"/>
  <c r="S36" i="18" a="1"/>
  <c r="S36" i="18" s="1"/>
  <c r="T34" i="18" a="1"/>
  <c r="T34" i="18" s="1"/>
  <c r="S35" i="18" a="1"/>
  <c r="S35" i="18" s="1"/>
  <c r="P34" i="18" a="1"/>
  <c r="P34" i="18" s="1"/>
  <c r="R34" i="18" s="1"/>
  <c r="T19" i="18" a="1"/>
  <c r="T19" i="18" s="1"/>
  <c r="T12" i="18" a="1"/>
  <c r="T12" i="18" s="1"/>
  <c r="T18" i="18" a="1"/>
  <c r="T18" i="18" s="1"/>
  <c r="T11" i="18" a="1"/>
  <c r="T11" i="18" s="1"/>
  <c r="S33" i="18" a="1"/>
  <c r="S33" i="18" s="1"/>
  <c r="S5" i="18" a="1"/>
  <c r="S5" i="18" s="1"/>
  <c r="P32" i="18" a="1"/>
  <c r="P32" i="18" s="1"/>
  <c r="R32" i="18" s="1"/>
  <c r="P25" i="18" a="1"/>
  <c r="P25" i="18" s="1"/>
  <c r="R25" i="18" s="1"/>
  <c r="P4" i="18" a="1"/>
  <c r="P4" i="18" s="1"/>
  <c r="R4" i="18" s="1"/>
  <c r="O19" i="18" a="1"/>
  <c r="O19" i="18" s="1"/>
  <c r="T31" i="18" a="1"/>
  <c r="T31" i="18" s="1"/>
  <c r="T24" i="18" a="1"/>
  <c r="T24" i="18" s="1"/>
  <c r="T10" i="18" a="1"/>
  <c r="T10" i="18" s="1"/>
  <c r="S32" i="18" a="1"/>
  <c r="S32" i="18" s="1"/>
  <c r="S25" i="18" a="1"/>
  <c r="S25" i="18" s="1"/>
  <c r="S4" i="18" a="1"/>
  <c r="S4" i="18" s="1"/>
  <c r="P24" i="18" a="1"/>
  <c r="P24" i="18" s="1"/>
  <c r="R24" i="18" s="1"/>
  <c r="P10" i="18" a="1"/>
  <c r="P10" i="18" s="1"/>
  <c r="R10" i="18" s="1"/>
  <c r="T7" i="17" a="1"/>
  <c r="T7" i="17" s="1"/>
  <c r="X5" i="17" a="1"/>
  <c r="X5" i="17" s="1"/>
  <c r="R3" i="17" a="1"/>
  <c r="R3" i="17" s="1"/>
  <c r="U8" i="17" a="1"/>
  <c r="U8" i="17" s="1"/>
  <c r="V9" i="17" a="1"/>
  <c r="V9" i="17" s="1"/>
  <c r="R4" i="17" a="1"/>
  <c r="R4" i="17" s="1"/>
  <c r="V4" i="17" a="1"/>
  <c r="V4" i="17" s="1"/>
  <c r="V3" i="17" a="1"/>
  <c r="V3" i="17" s="1"/>
  <c r="T10" i="17" a="1"/>
  <c r="T10" i="17" s="1"/>
  <c r="T9" i="17" a="1"/>
  <c r="T9" i="17" s="1"/>
  <c r="U7" i="17" a="1"/>
  <c r="U7" i="17" s="1"/>
  <c r="X10" i="17" a="1"/>
  <c r="X10" i="17" s="1"/>
  <c r="T2" i="17" a="1"/>
  <c r="T2" i="17" s="1"/>
  <c r="T6" i="17" a="1"/>
  <c r="T6" i="17" s="1"/>
  <c r="S8" i="17" a="1"/>
  <c r="S8" i="17" s="1"/>
  <c r="S4" i="17" a="1"/>
  <c r="S4" i="17" s="1"/>
  <c r="R6" i="17" a="1"/>
  <c r="R6" i="17" s="1"/>
  <c r="S2" i="17" a="1"/>
  <c r="S2" i="17" s="1"/>
  <c r="S9" i="17" a="1"/>
  <c r="S9" i="17" s="1"/>
  <c r="X3" i="17" a="1"/>
  <c r="X3" i="17" s="1"/>
  <c r="V10" i="17" a="1"/>
  <c r="V10" i="17" s="1"/>
  <c r="Y5" i="17"/>
  <c r="Q5" i="17" s="1"/>
  <c r="W5" i="17"/>
  <c r="W4" i="17"/>
  <c r="Y3" i="17"/>
  <c r="W3" i="17"/>
  <c r="W10" i="17"/>
  <c r="Y10" i="17"/>
  <c r="W6" i="17"/>
  <c r="O7" i="17" a="1"/>
  <c r="O7" i="17" s="1"/>
  <c r="N9" i="17" a="1"/>
  <c r="N9" i="17" s="1"/>
  <c r="N2" i="17" a="1"/>
  <c r="N2" i="17" s="1"/>
  <c r="T8" i="17" a="1"/>
  <c r="T8" i="17" s="1"/>
  <c r="S10" i="17" a="1"/>
  <c r="S10" i="17" s="1"/>
  <c r="S3" i="17" a="1"/>
  <c r="S3" i="17" s="1"/>
  <c r="R5" i="17" a="1"/>
  <c r="R5" i="17" s="1"/>
  <c r="W2" i="17"/>
  <c r="U6" i="17" a="1"/>
  <c r="U6" i="17" s="1"/>
  <c r="X4" i="17" a="1"/>
  <c r="X4" i="17" s="1"/>
  <c r="Y4" i="17" s="1"/>
  <c r="O6" i="17" a="1"/>
  <c r="O6" i="17" s="1"/>
  <c r="N8" i="17" a="1"/>
  <c r="N8" i="17" s="1"/>
  <c r="S6" i="17" a="1"/>
  <c r="S6" i="17" s="1"/>
  <c r="R8" i="17" a="1"/>
  <c r="R8" i="17" s="1"/>
  <c r="X9" i="17" a="1"/>
  <c r="X9" i="17" s="1"/>
  <c r="Y9" i="17" s="1"/>
  <c r="V8" i="17" a="1"/>
  <c r="V8" i="17" s="1"/>
  <c r="R2" i="17" a="1"/>
  <c r="R2" i="17" s="1"/>
  <c r="W9" i="17"/>
  <c r="O10" i="17" a="1"/>
  <c r="O10" i="17" s="1"/>
  <c r="T4" i="17" a="1"/>
  <c r="T4" i="17" s="1"/>
  <c r="X7" i="17" a="1"/>
  <c r="X7" i="17" s="1"/>
  <c r="Y7" i="17" s="1"/>
  <c r="Q7" i="17" s="1"/>
  <c r="W7" i="17"/>
  <c r="O9" i="17" a="1"/>
  <c r="O9" i="17" s="1"/>
  <c r="O2" i="17" a="1"/>
  <c r="O2" i="17" s="1"/>
  <c r="N4" i="17" a="1"/>
  <c r="N4" i="17" s="1"/>
  <c r="X2" i="17" a="1"/>
  <c r="X2" i="17" s="1"/>
  <c r="Y2" i="17" s="1"/>
  <c r="Q2" i="17" s="1"/>
  <c r="S7" i="17" a="1"/>
  <c r="S7" i="17" s="1"/>
  <c r="R9" i="17" a="1"/>
  <c r="R9" i="17" s="1"/>
  <c r="X8" i="17" a="1"/>
  <c r="X8" i="17" s="1"/>
  <c r="Y8" i="17" s="1"/>
  <c r="Q8" i="17" s="1"/>
  <c r="U2" i="17" a="1"/>
  <c r="U2" i="17" s="1"/>
  <c r="T3" i="17" a="1"/>
  <c r="T3" i="17" s="1"/>
  <c r="S5" i="17" a="1"/>
  <c r="S5" i="17" s="1"/>
  <c r="R7" i="17" a="1"/>
  <c r="R7" i="17" s="1"/>
  <c r="O4" i="17" a="1"/>
  <c r="O4" i="17" s="1"/>
  <c r="U10" i="17" a="1"/>
  <c r="U10" i="17" s="1"/>
  <c r="T5" i="17" a="1"/>
  <c r="T5" i="17" s="1"/>
  <c r="O3" i="17" a="1"/>
  <c r="O3" i="17" s="1"/>
  <c r="V7" i="17" a="1"/>
  <c r="V7" i="17" s="1"/>
  <c r="U9" i="17" a="1"/>
  <c r="U9" i="17" s="1"/>
  <c r="X6" i="17" a="1"/>
  <c r="X6" i="17" s="1"/>
  <c r="Y6" i="17" s="1"/>
  <c r="Q6" i="17" s="1"/>
  <c r="O8" i="17" a="1"/>
  <c r="O8" i="17" s="1"/>
  <c r="N10" i="17" a="1"/>
  <c r="N10" i="17" s="1"/>
  <c r="N3" i="17" a="1"/>
  <c r="N3" i="17" s="1"/>
  <c r="N6" i="17" a="1"/>
  <c r="N6" i="17" s="1"/>
  <c r="U3" i="17" a="1"/>
  <c r="U3" i="17" s="1"/>
  <c r="N5" i="17" a="1"/>
  <c r="N5" i="17" s="1"/>
  <c r="V6" i="17" a="1"/>
  <c r="V6" i="17" s="1"/>
  <c r="V5" i="17" a="1"/>
  <c r="V5" i="17" s="1"/>
  <c r="Q4" i="17" l="1"/>
  <c r="Q10" i="17"/>
  <c r="Q9" i="17"/>
  <c r="Q3" i="17"/>
</calcChain>
</file>

<file path=xl/connections.xml><?xml version="1.0" encoding="utf-8"?>
<connections xmlns="http://schemas.openxmlformats.org/spreadsheetml/2006/main">
  <connection id="1" name="Connection" type="1" refreshedVersion="6" saveData="1">
    <dbPr connection="Driver={SQLite3 ODBC Driver};Database=c:\users\busra\downloads\kyk_yemekhane_simulasyonu.backup.backup.db;StepAPI=;SyncPragma=;NoTXN=;Timeout=;ShortNames=;LongNames=;NoCreat=;NoWCHAR=;FKSupport=;JournalMode=;OEMCP=;LoadExt=;BigInt=;JDConv=;AttachAs=;ILike=" command="select * from FrequencyStatsQuery"/>
  </connection>
  <connection id="2" name="Connection1" type="1" refreshedVersion="6" saveData="1">
    <dbPr connection="Driver={SQLite3 ODBC Driver};Database=c:\users\busra\downloads\kyk_yemekhane_simulasyonu.backup.backup.db;StepAPI=;SyncPragma=;NoTXN=;Timeout=;ShortNames=;LongNames=;NoCreat=;NoWCHAR=;FKSupport=;JournalMode=;OEMCP=;LoadExt=;BigInt=;JDConv=;AttachAs=;ILike=" command="select * from ProjectQuery"/>
  </connection>
  <connection id="3" name="Connection2" type="1" refreshedVersion="6" saveData="1">
    <dbPr connection="Driver={SQLite3 ODBC Driver};Database=c:\users\busra\downloads\kyk_yemekhane_simulasyonu.backup.backup.db;StepAPI=;SyncPragma=;NoTXN=;Timeout=;ShortNames=;LongNames=;NoCreat=;NoWCHAR=;FKSupport=;JournalMode=;OEMCP=;LoadExt=;BigInt=;JDConv=;AttachAs=;ILike=" command="select * from DiscreteTimeStatsQuery"/>
  </connection>
  <connection id="4" name="Connection3" type="1" refreshedVersion="6" saveData="1">
    <dbPr connection="Driver={SQLite3 ODBC Driver};Database=c:\users\busra\downloads\kyk_yemekhane_simulasyonu.backup.backup.db;StepAPI=;SyncPragma=;NoTXN=;Timeout=;ShortNames=;LongNames=;NoCreat=;NoWCHAR=;FKSupport=;JournalMode=;OEMCP=;LoadExt=;BigInt=;JDConv=;AttachAs=;ILike=" command="select * from ContinuousTimeStatsQuery"/>
  </connection>
  <connection id="5" name="Connection4" type="1" refreshedVersion="6" saveData="1">
    <dbPr connection="Driver={SQLite3 ODBC Driver};Database=c:\users\busra\downloads\kyk_yemekhane_simulasyonu.backup.backup.db;StepAPI=;SyncPragma=;NoTXN=;Timeout=;ShortNames=;LongNames=;NoCreat=;NoWCHAR=;FKSupport=;JournalMode=;OEMCP=;LoadExt=;BigInt=;JDConv=;AttachAs=;ILike=" command="select * from CounterStatsQuery"/>
  </connection>
  <connection id="6" name="Connection5" type="1" refreshedVersion="6" saveData="1">
    <dbPr connection="Driver={SQLite3 ODBC Driver};Database=c:\users\busra\downloads\kyk_yemekhane_simulasyonu.backup.backup.db;StepAPI=;SyncPragma=;NoTXN=;Timeout=;ShortNames=;LongNames=;NoCreat=;NoWCHAR=;FKSupport=;JournalMode=;OEMCP=;LoadExt=;BigInt=;JDConv=;AttachAs=;ILike=" command="select * from OutputStatsQuery"/>
  </connection>
</connections>
</file>

<file path=xl/sharedStrings.xml><?xml version="1.0" encoding="utf-8"?>
<sst xmlns="http://schemas.openxmlformats.org/spreadsheetml/2006/main" count="659" uniqueCount="133">
  <si>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</si>
  <si>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</si>
  <si>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</si>
  <si>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</si>
  <si>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</si>
  <si>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</si>
  <si>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</si>
  <si>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</si>
  <si>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</si>
  <si>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</si>
  <si>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</si>
  <si>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</si>
  <si>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</si>
  <si>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</si>
  <si>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</si>
  <si>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</si>
  <si>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</si>
  <si>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</si>
  <si>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</si>
  <si>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</si>
  <si>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</si>
  <si>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</si>
  <si>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</si>
  <si>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</si>
  <si>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</si>
  <si>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</si>
  <si>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</si>
  <si>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</si>
  <si>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</si>
  <si>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</si>
  <si>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</si>
  <si>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</si>
  <si>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</si>
  <si>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</si>
  <si>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</si>
  <si>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</si>
  <si>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</si>
  <si>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</si>
  <si>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</si>
  <si>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</si>
  <si>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</si>
  <si>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</si>
  <si>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</si>
  <si>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</si>
  <si>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</si>
  <si>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</si>
  <si>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</si>
  <si>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</si>
  <si>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</si>
  <si>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</si>
  <si>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</si>
  <si>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</si>
  <si>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</si>
  <si>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</si>
  <si>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</si>
  <si>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</si>
  <si>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</si>
  <si>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</si>
  <si>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</si>
  <si>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</si>
  <si>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</si>
  <si>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</si>
  <si>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</si>
  <si>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</si>
  <si>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</si>
  <si>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</si>
  <si>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Unnamed Project</t>
  </si>
  <si>
    <t>IncludeOption</t>
  </si>
  <si>
    <t>C:\Users\busra\Downloads\KYK_Yemekhane_Simulasyonu.Backup.Backup.p</t>
  </si>
  <si>
    <t>Ekmek_Bekleme_Noktasi.Queue</t>
  </si>
  <si>
    <t>Waiting Time</t>
  </si>
  <si>
    <t>Queue</t>
  </si>
  <si>
    <t>Entity 1</t>
  </si>
  <si>
    <t>NVA Time</t>
  </si>
  <si>
    <t>Entity</t>
  </si>
  <si>
    <t>Other Time</t>
  </si>
  <si>
    <t>Total Time</t>
  </si>
  <si>
    <t>Transfer Time</t>
  </si>
  <si>
    <t>VA Time</t>
  </si>
  <si>
    <t>Wait Time</t>
  </si>
  <si>
    <t>yemekhane_girisine_kapasite.Queue</t>
  </si>
  <si>
    <t>Cop_Kovasi_Alani</t>
  </si>
  <si>
    <t>Instantaneous Utilization</t>
  </si>
  <si>
    <t>Resource</t>
  </si>
  <si>
    <t>Number Busy</t>
  </si>
  <si>
    <t>Number Scheduled</t>
  </si>
  <si>
    <t>Number Waiting</t>
  </si>
  <si>
    <t>WIP</t>
  </si>
  <si>
    <t>Et_Hatti.Queue</t>
  </si>
  <si>
    <t>Et_Servis_Personeli</t>
  </si>
  <si>
    <t>Kahve_Alani.Queue</t>
  </si>
  <si>
    <t>Kahve_Alani_Koltuk</t>
  </si>
  <si>
    <t>Kahve_Makinesi</t>
  </si>
  <si>
    <t>Kantin_Gorevlisi</t>
  </si>
  <si>
    <t>Masa_Kapma.Queue</t>
  </si>
  <si>
    <t>Parmak Ýzi Cihaz</t>
  </si>
  <si>
    <t>Sebze_Hatti.Queue</t>
  </si>
  <si>
    <t>Sebze_Servis_Personeli</t>
  </si>
  <si>
    <t>TC_Giris_Sureci.Queue</t>
  </si>
  <si>
    <t>Tepsi_Dokme.Queue</t>
  </si>
  <si>
    <t>Tost_Siparisi.Queue</t>
  </si>
  <si>
    <t>kahve_servis.Queue</t>
  </si>
  <si>
    <t>sabir.Queue</t>
  </si>
  <si>
    <t>sandaye ve masa</t>
  </si>
  <si>
    <t>Cop_Kovasi_Alani.NumberSeized</t>
  </si>
  <si>
    <t>Total Number Seized</t>
  </si>
  <si>
    <t>Cop_Kovasi_Alani.ScheduledUtilization</t>
  </si>
  <si>
    <t>Scheduled Utilization</t>
  </si>
  <si>
    <t>Entity 1.NumberIn</t>
  </si>
  <si>
    <t>Number In</t>
  </si>
  <si>
    <t>Entity 1.NumberOut</t>
  </si>
  <si>
    <t>Number Out</t>
  </si>
  <si>
    <t>Et_Servis_Personeli.NumberSeized</t>
  </si>
  <si>
    <t>Et_Servis_Personeli.ScheduledUtilization</t>
  </si>
  <si>
    <t>Kahve_Alani_Koltuk.NumberSeized</t>
  </si>
  <si>
    <t>Kahve_Alani_Koltuk.ScheduledUtilization</t>
  </si>
  <si>
    <t>Kahve_Makinesi.NumberSeized</t>
  </si>
  <si>
    <t>Kahve_Makinesi.ScheduledUtilization</t>
  </si>
  <si>
    <t>Kantin_Gorevlisi.NumberSeized</t>
  </si>
  <si>
    <t>Kantin_Gorevlisi.ScheduledUtilization</t>
  </si>
  <si>
    <t>Parmak Ýzi Cihaz.NumberSeized</t>
  </si>
  <si>
    <t>Parmak Ýzi Cihaz.ScheduledUtilization</t>
  </si>
  <si>
    <t>Sebze_Servis_Personeli.NumberSeized</t>
  </si>
  <si>
    <t>Sebze_Servis_Personeli.ScheduledUtilization</t>
  </si>
  <si>
    <t>System.NumberOut</t>
  </si>
  <si>
    <t>System</t>
  </si>
  <si>
    <t>sandaye ve masa.NumberSeized</t>
  </si>
  <si>
    <t>sandaye ve masa.ScheduledUtilization</t>
  </si>
  <si>
    <t>(boş)</t>
  </si>
  <si>
    <t>2026-05-03 15:37:54</t>
  </si>
  <si>
    <t>giris_zamani</t>
  </si>
  <si>
    <t>Interval</t>
  </si>
  <si>
    <t>User Specified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</si>
</sst>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6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[=400000000000000000000]&quot;Null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4]&quot;Days&quot;;;"/>
    </dxf>
    <dxf>
      <numFmt numFmtId="172" formatCode="[=1]&quot;Seconds&quot;;;"/>
    </dxf>
    <dxf>
      <numFmt numFmtId="173" formatCode="[=2]&quot;Minutes&quot;;;"/>
    </dxf>
    <dxf>
      <numFmt numFmtId="174" formatCode="[=3]&quot;Hour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busra" refreshedDate="46145.651353935187" createdVersion="7" refreshedVersion="6" minRefreshableVersion="3" recordCount="36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43">
        <s v="Cop_Kovasi_Alani"/>
        <s v="Ekmek_Bekleme_Noktasi.Queue"/>
        <s v="Entity 1"/>
        <s v="Et_Hatti.Queue"/>
        <s v="Et_Servis_Personeli"/>
        <s v="Kahve_Alani.Queue"/>
        <s v="Kahve_Alani_Koltuk"/>
        <s v="Kahve_Makinesi"/>
        <s v="Kantin_Gorevlisi"/>
        <s v="Masa_Kapma.Queue"/>
        <s v="Parmak Ýzi Cihaz"/>
        <s v="Sebze_Hatti.Queue"/>
        <s v="Sebze_Servis_Personeli"/>
        <s v="TC_Giris_Sureci.Queue"/>
        <s v="Tepsi_Dokme.Queue"/>
        <s v="Tost_Siparisi.Queue"/>
        <s v="kahve_servis.Queue"/>
        <s v="sabir.Queue"/>
        <s v="sandaye ve masa"/>
        <s v="yemekhane_girisine_kapasite.Queue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Resource 1" u="1"/>
      </sharedItems>
    </cacheField>
    <cacheField name="Type" numFmtId="0">
      <sharedItems containsBlank="1" count="7">
        <s v="Instantaneous Utilization"/>
        <s v="Number Busy"/>
        <s v="Number Scheduled"/>
        <s v="Number Waiting"/>
        <s v="WIP"/>
        <m u="1"/>
        <s v="Levels" u="1"/>
      </sharedItems>
    </cacheField>
    <cacheField name="Source" numFmtId="0">
      <sharedItems containsBlank="1" count="5">
        <s v="Resource"/>
        <s v="Queue"/>
        <s v="Entity"/>
        <m u="1"/>
        <s v="User Specified" u="1"/>
      </sharedItems>
    </cacheField>
    <cacheField name="Average" numFmtId="0">
      <sharedItems containsSemiMixedTypes="0" containsString="0" containsNumber="1" minValue="0" maxValue="2000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containsInteger="1" minValue="0" maxValue="2000"/>
    </cacheField>
    <cacheField name="Maximum" numFmtId="0">
      <sharedItems containsSemiMixedTypes="0" containsString="0" containsNumber="1" containsInteger="1" minValue="0" maxValue="2000"/>
    </cacheField>
    <cacheField name="LastRecordedValue" numFmtId="0">
      <sharedItems containsSemiMixedTypes="0" containsString="0" containsNumber="1" containsInteger="1" minValue="0" maxValue="2000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2000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2000"/>
    </cacheField>
    <cacheField name="MaximumAverage" numFmtId="0">
      <sharedItems containsSemiMixedTypes="0" containsString="0" containsNumber="1" minValue="0" maxValue="2000"/>
    </cacheField>
    <cacheField name="SummaryHalfWidth" numFmtId="0">
      <sharedItems containsSemiMixedTypes="0" containsString="0" containsNumber="1" containsInteger="1" minValue="2E+20" maxValue="2E+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busra" refreshedDate="46145.651354166665" createdVersion="7" refreshedVersion="6" minRefreshableVersion="3" recordCount="1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busra" refreshedDate="46145.65135428241" createdVersion="7" refreshedVersion="6" minRefreshableVersion="3" recordCount="9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02">
        <s v="Ekmek_Bekleme_Noktasi.Queue"/>
        <s v="Entity 1"/>
        <s v="giris_zamani"/>
        <s v="yemekhane_girisine_kapasite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Process Part Type 2 on Prep2" u="1"/>
      </sharedItems>
    </cacheField>
    <cacheField name="Type" numFmtId="0">
      <sharedItems containsBlank="1" count="12">
        <s v="Waiting Time"/>
        <s v="NVA Time"/>
        <s v="Other Time"/>
        <s v="Total Time"/>
        <s v="Transfer Time"/>
        <s v="VA Time"/>
        <s v="Wait Time"/>
        <s v="Interval"/>
        <m u="1"/>
        <s v="Total Time Per Entity" u="1"/>
        <s v="VA Time Per Entity" u="1"/>
        <s v="Wait Time Per Entity" u="1"/>
      </sharedItems>
    </cacheField>
    <cacheField name="Source" numFmtId="0">
      <sharedItems containsBlank="1" count="5">
        <s v="Queue"/>
        <s v="Entity"/>
        <s v="User Specified"/>
        <m u="1"/>
        <s v="Process" u="1"/>
      </sharedItems>
    </cacheField>
    <cacheField name="Average" numFmtId="0">
      <sharedItems containsSemiMixedTypes="0" containsString="0" containsNumber="1" minValue="0" maxValue="1.4840787956933601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0.69230453514027801"/>
    </cacheField>
    <cacheField name="Maximum" numFmtId="0">
      <sharedItems containsSemiMixedTypes="0" containsString="0" containsNumber="1" minValue="0" maxValue="2.2758530562464498"/>
    </cacheField>
    <cacheField name="NumberObservations" numFmtId="0">
      <sharedItems containsSemiMixedTypes="0" containsString="0" containsNumber="1" containsInteger="1" minValue="2" maxValue="22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1.4840787956933601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1.4840787956933601"/>
    </cacheField>
    <cacheField name="MaximumAverage" numFmtId="0">
      <sharedItems containsSemiMixedTypes="0" containsString="0" containsNumber="1" minValue="0" maxValue="1.4840787956933601"/>
    </cacheField>
    <cacheField name="OverallMinimum" numFmtId="0">
      <sharedItems containsSemiMixedTypes="0" containsString="0" containsNumber="1" minValue="0" maxValue="0.69230453514027801"/>
    </cacheField>
    <cacheField name="OverallMaximum" numFmtId="0">
      <sharedItems containsSemiMixedTypes="0" containsString="0" containsNumber="1" minValue="0" maxValue="2.2758530562464498"/>
    </cacheField>
    <cacheField name="AverageNumberObservations" numFmtId="0">
      <sharedItems containsSemiMixedTypes="0" containsString="0" containsNumber="1" containsInteger="1" minValue="2" maxValue="22"/>
    </cacheField>
    <cacheField name="SummaryHalfWidth" numFmtId="0">
      <sharedItems containsSemiMixedTypes="0" containsString="0" containsNumber="1" containsInteger="1" minValue="2E+20" maxValue="2E+20"/>
    </cacheField>
    <cacheField name="RepsWithStatObserved" numFmtId="0">
      <sharedItems containsSemiMixedTypes="0" containsString="0" containsNumber="1" containsInteger="1" minValue="1" maxValue="1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busra" refreshedDate="46145.651354513888" createdVersion="7" refreshedVersion="6" minRefreshableVersion="3" recordCount="19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95">
        <s v="Cop_Kovasi_Alani.NumberSeized"/>
        <s v="Cop_Kovasi_Alani.ScheduledUtilization"/>
        <s v="Entity 1.NumberIn"/>
        <s v="Entity 1.NumberOut"/>
        <s v="Et_Servis_Personeli.NumberSeized"/>
        <s v="Et_Servis_Personeli.ScheduledUtilization"/>
        <s v="Kahve_Alani_Koltuk.NumberSeized"/>
        <s v="Kahve_Alani_Koltuk.ScheduledUtilization"/>
        <s v="Kahve_Makinesi.NumberSeized"/>
        <s v="Kahve_Makinesi.ScheduledUtilization"/>
        <s v="Kantin_Gorevlisi.NumberSeized"/>
        <s v="Kantin_Gorevlisi.ScheduledUtilization"/>
        <s v="Parmak Ýzi Cihaz.NumberSeized"/>
        <s v="Parmak Ýzi Cihaz.ScheduledUtilization"/>
        <s v="Sebze_Servis_Personeli.NumberSeized"/>
        <s v="Sebze_Servis_Personeli.ScheduledUtilization"/>
        <s v="System.NumberOut"/>
        <s v="sandaye ve masa.NumberSeized"/>
        <s v="sandaye ve masa.ScheduledUtilization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Total Number Seized"/>
        <s v="Scheduled Utilization"/>
        <s v="Number In"/>
        <s v="Number Out"/>
        <m u="1"/>
        <s v="Accum VA Time" u="1"/>
        <s v="Accum Wait Time" u="1"/>
      </sharedItems>
    </cacheField>
    <cacheField name="Source" numFmtId="0">
      <sharedItems containsBlank="1" count="5">
        <s v="Resource"/>
        <s v="Entity"/>
        <s v="System"/>
        <m u="1"/>
        <s v="Process" u="1"/>
      </sharedItems>
    </cacheField>
    <cacheField name="RecordedValue" numFmtId="0">
      <sharedItems containsSemiMixedTypes="0" containsString="0" containsNumber="1" containsInteger="1" minValue="0" maxValue="24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" numFmtId="0">
      <sharedItems containsSemiMixedTypes="0" containsString="0" containsNumber="1" containsInteger="1" minValue="0" maxValue="24"/>
    </cacheField>
    <cacheField name="StandardDeviation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" numFmtId="0">
      <sharedItems containsSemiMixedTypes="0" containsString="0" containsNumber="1" containsInteger="1" minValue="0" maxValue="24"/>
    </cacheField>
    <cacheField name="Maximum" numFmtId="0">
      <sharedItems containsSemiMixedTypes="0" containsString="0" containsNumber="1" containsInteger="1" minValue="0" maxValue="2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busra" refreshedDate="46145.651354745372" createdVersion="7" refreshedVersion="6" minRefreshableVersion="3" recordCount="1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6">
  <r>
    <x v="0"/>
    <s v="2026-05-03 15:37:54"/>
    <n v="1"/>
    <x v="0"/>
    <x v="0"/>
    <x v="0"/>
    <n v="0"/>
    <n v="2E+20"/>
    <n v="0"/>
    <n v="0"/>
    <n v="0"/>
    <n v="0"/>
    <s v="Unnamed ProjectCop_Kovasi_AlaniInstantaneous UtilizationResource"/>
    <n v="1"/>
    <n v="0"/>
    <n v="0"/>
    <n v="0.95"/>
    <n v="4E+20"/>
    <n v="0"/>
    <n v="0"/>
    <n v="2E+20"/>
  </r>
  <r>
    <x v="0"/>
    <s v="2026-05-03 15:37:54"/>
    <n v="1"/>
    <x v="0"/>
    <x v="1"/>
    <x v="0"/>
    <n v="0"/>
    <n v="2E+20"/>
    <n v="0"/>
    <n v="0"/>
    <n v="0"/>
    <n v="0"/>
    <s v="Unnamed ProjectCop_Kovasi_AlaniNumber BusyResource"/>
    <n v="1"/>
    <n v="0"/>
    <n v="0"/>
    <n v="0.95"/>
    <n v="4E+20"/>
    <n v="0"/>
    <n v="0"/>
    <n v="2E+20"/>
  </r>
  <r>
    <x v="0"/>
    <s v="2026-05-03 15:37:54"/>
    <n v="1"/>
    <x v="0"/>
    <x v="2"/>
    <x v="0"/>
    <n v="10"/>
    <n v="2E+20"/>
    <n v="10"/>
    <n v="10"/>
    <n v="10"/>
    <n v="0"/>
    <s v="Unnamed ProjectCop_Kovasi_AlaniNumber ScheduledResource"/>
    <n v="1"/>
    <n v="10"/>
    <n v="0"/>
    <n v="0.95"/>
    <n v="4E+20"/>
    <n v="10"/>
    <n v="10"/>
    <n v="2E+20"/>
  </r>
  <r>
    <x v="0"/>
    <s v="2026-05-03 15:37:54"/>
    <n v="1"/>
    <x v="1"/>
    <x v="3"/>
    <x v="1"/>
    <n v="0.26123885539073"/>
    <n v="2E+20"/>
    <n v="0"/>
    <n v="1"/>
    <n v="0"/>
    <n v="0"/>
    <s v="Unnamed ProjectEkmek_Bekleme_Noktasi.QueueNumber WaitingQueue"/>
    <n v="1"/>
    <n v="0.26123885539073"/>
    <n v="0"/>
    <n v="0.95"/>
    <n v="4E+20"/>
    <n v="0.26123885539073"/>
    <n v="0.26123885539073"/>
    <n v="2E+20"/>
  </r>
  <r>
    <x v="0"/>
    <s v="2026-05-03 15:37:54"/>
    <n v="1"/>
    <x v="2"/>
    <x v="4"/>
    <x v="2"/>
    <n v="1.50530706810221"/>
    <n v="2E+20"/>
    <n v="0"/>
    <n v="3"/>
    <n v="2"/>
    <n v="0"/>
    <s v="Unnamed ProjectEntity 1WIPEntity"/>
    <n v="1"/>
    <n v="1.50530706810221"/>
    <n v="0"/>
    <n v="0.95"/>
    <n v="4E+20"/>
    <n v="1.50530706810221"/>
    <n v="1.50530706810221"/>
    <n v="2E+20"/>
  </r>
  <r>
    <x v="0"/>
    <s v="2026-05-03 15:37:54"/>
    <n v="1"/>
    <x v="3"/>
    <x v="3"/>
    <x v="1"/>
    <n v="0"/>
    <n v="2E+20"/>
    <n v="0"/>
    <n v="0"/>
    <n v="0"/>
    <n v="0"/>
    <s v="Unnamed ProjectEt_Hatti.QueueNumber WaitingQueue"/>
    <n v="1"/>
    <n v="0"/>
    <n v="0"/>
    <n v="0.95"/>
    <n v="4E+20"/>
    <n v="0"/>
    <n v="0"/>
    <n v="2E+20"/>
  </r>
  <r>
    <x v="0"/>
    <s v="2026-05-03 15:37:54"/>
    <n v="1"/>
    <x v="4"/>
    <x v="0"/>
    <x v="0"/>
    <n v="0"/>
    <n v="2E+20"/>
    <n v="0"/>
    <n v="0"/>
    <n v="0"/>
    <n v="0"/>
    <s v="Unnamed ProjectEt_Servis_PersoneliInstantaneous UtilizationResource"/>
    <n v="1"/>
    <n v="0"/>
    <n v="0"/>
    <n v="0.95"/>
    <n v="4E+20"/>
    <n v="0"/>
    <n v="0"/>
    <n v="2E+20"/>
  </r>
  <r>
    <x v="0"/>
    <s v="2026-05-03 15:37:54"/>
    <n v="1"/>
    <x v="4"/>
    <x v="1"/>
    <x v="0"/>
    <n v="0"/>
    <n v="2E+20"/>
    <n v="0"/>
    <n v="0"/>
    <n v="0"/>
    <n v="0"/>
    <s v="Unnamed ProjectEt_Servis_PersoneliNumber BusyResource"/>
    <n v="1"/>
    <n v="0"/>
    <n v="0"/>
    <n v="0.95"/>
    <n v="4E+20"/>
    <n v="0"/>
    <n v="0"/>
    <n v="2E+20"/>
  </r>
  <r>
    <x v="0"/>
    <s v="2026-05-03 15:37:54"/>
    <n v="1"/>
    <x v="4"/>
    <x v="2"/>
    <x v="0"/>
    <n v="1"/>
    <n v="2E+20"/>
    <n v="1"/>
    <n v="1"/>
    <n v="1"/>
    <n v="0"/>
    <s v="Unnamed ProjectEt_Servis_PersoneliNumber ScheduledResource"/>
    <n v="1"/>
    <n v="1"/>
    <n v="0"/>
    <n v="0.95"/>
    <n v="4E+20"/>
    <n v="1"/>
    <n v="1"/>
    <n v="2E+20"/>
  </r>
  <r>
    <x v="0"/>
    <s v="2026-05-03 15:37:54"/>
    <n v="1"/>
    <x v="5"/>
    <x v="3"/>
    <x v="1"/>
    <n v="0"/>
    <n v="2E+20"/>
    <n v="0"/>
    <n v="0"/>
    <n v="0"/>
    <n v="0"/>
    <s v="Unnamed ProjectKahve_Alani.QueueNumber WaitingQueue"/>
    <n v="1"/>
    <n v="0"/>
    <n v="0"/>
    <n v="0.95"/>
    <n v="4E+20"/>
    <n v="0"/>
    <n v="0"/>
    <n v="2E+20"/>
  </r>
  <r>
    <x v="0"/>
    <s v="2026-05-03 15:37:54"/>
    <n v="1"/>
    <x v="6"/>
    <x v="0"/>
    <x v="0"/>
    <n v="0"/>
    <n v="2E+20"/>
    <n v="0"/>
    <n v="0"/>
    <n v="0"/>
    <n v="0"/>
    <s v="Unnamed ProjectKahve_Alani_KoltukInstantaneous UtilizationResource"/>
    <n v="1"/>
    <n v="0"/>
    <n v="0"/>
    <n v="0.95"/>
    <n v="4E+20"/>
    <n v="0"/>
    <n v="0"/>
    <n v="2E+20"/>
  </r>
  <r>
    <x v="0"/>
    <s v="2026-05-03 15:37:54"/>
    <n v="1"/>
    <x v="6"/>
    <x v="1"/>
    <x v="0"/>
    <n v="0"/>
    <n v="2E+20"/>
    <n v="0"/>
    <n v="0"/>
    <n v="0"/>
    <n v="0"/>
    <s v="Unnamed ProjectKahve_Alani_KoltukNumber BusyResource"/>
    <n v="1"/>
    <n v="0"/>
    <n v="0"/>
    <n v="0.95"/>
    <n v="4E+20"/>
    <n v="0"/>
    <n v="0"/>
    <n v="2E+20"/>
  </r>
  <r>
    <x v="0"/>
    <s v="2026-05-03 15:37:54"/>
    <n v="1"/>
    <x v="6"/>
    <x v="2"/>
    <x v="0"/>
    <n v="100"/>
    <n v="2E+20"/>
    <n v="100"/>
    <n v="100"/>
    <n v="100"/>
    <n v="0"/>
    <s v="Unnamed ProjectKahve_Alani_KoltukNumber ScheduledResource"/>
    <n v="1"/>
    <n v="100"/>
    <n v="0"/>
    <n v="0.95"/>
    <n v="4E+20"/>
    <n v="100"/>
    <n v="100"/>
    <n v="2E+20"/>
  </r>
  <r>
    <x v="0"/>
    <s v="2026-05-03 15:37:54"/>
    <n v="1"/>
    <x v="7"/>
    <x v="0"/>
    <x v="0"/>
    <n v="0"/>
    <n v="2E+20"/>
    <n v="0"/>
    <n v="0"/>
    <n v="0"/>
    <n v="0"/>
    <s v="Unnamed ProjectKahve_MakinesiInstantaneous UtilizationResource"/>
    <n v="1"/>
    <n v="0"/>
    <n v="0"/>
    <n v="0.95"/>
    <n v="4E+20"/>
    <n v="0"/>
    <n v="0"/>
    <n v="2E+20"/>
  </r>
  <r>
    <x v="0"/>
    <s v="2026-05-03 15:37:54"/>
    <n v="1"/>
    <x v="7"/>
    <x v="1"/>
    <x v="0"/>
    <n v="0"/>
    <n v="2E+20"/>
    <n v="0"/>
    <n v="0"/>
    <n v="0"/>
    <n v="0"/>
    <s v="Unnamed ProjectKahve_MakinesiNumber BusyResource"/>
    <n v="1"/>
    <n v="0"/>
    <n v="0"/>
    <n v="0.95"/>
    <n v="4E+20"/>
    <n v="0"/>
    <n v="0"/>
    <n v="2E+20"/>
  </r>
  <r>
    <x v="0"/>
    <s v="2026-05-03 15:37:54"/>
    <n v="1"/>
    <x v="7"/>
    <x v="2"/>
    <x v="0"/>
    <n v="1"/>
    <n v="2E+20"/>
    <n v="1"/>
    <n v="1"/>
    <n v="1"/>
    <n v="0"/>
    <s v="Unnamed ProjectKahve_MakinesiNumber ScheduledResource"/>
    <n v="1"/>
    <n v="1"/>
    <n v="0"/>
    <n v="0.95"/>
    <n v="4E+20"/>
    <n v="1"/>
    <n v="1"/>
    <n v="2E+20"/>
  </r>
  <r>
    <x v="0"/>
    <s v="2026-05-03 15:37:54"/>
    <n v="1"/>
    <x v="8"/>
    <x v="0"/>
    <x v="0"/>
    <n v="0"/>
    <n v="2E+20"/>
    <n v="0"/>
    <n v="0"/>
    <n v="0"/>
    <n v="0"/>
    <s v="Unnamed ProjectKantin_GorevlisiInstantaneous UtilizationResource"/>
    <n v="1"/>
    <n v="0"/>
    <n v="0"/>
    <n v="0.95"/>
    <n v="4E+20"/>
    <n v="0"/>
    <n v="0"/>
    <n v="2E+20"/>
  </r>
  <r>
    <x v="0"/>
    <s v="2026-05-03 15:37:54"/>
    <n v="1"/>
    <x v="8"/>
    <x v="1"/>
    <x v="0"/>
    <n v="0"/>
    <n v="2E+20"/>
    <n v="0"/>
    <n v="0"/>
    <n v="0"/>
    <n v="0"/>
    <s v="Unnamed ProjectKantin_GorevlisiNumber BusyResource"/>
    <n v="1"/>
    <n v="0"/>
    <n v="0"/>
    <n v="0.95"/>
    <n v="4E+20"/>
    <n v="0"/>
    <n v="0"/>
    <n v="2E+20"/>
  </r>
  <r>
    <x v="0"/>
    <s v="2026-05-03 15:37:54"/>
    <n v="1"/>
    <x v="8"/>
    <x v="2"/>
    <x v="0"/>
    <n v="1"/>
    <n v="2E+20"/>
    <n v="1"/>
    <n v="1"/>
    <n v="1"/>
    <n v="0"/>
    <s v="Unnamed ProjectKantin_GorevlisiNumber ScheduledResource"/>
    <n v="1"/>
    <n v="1"/>
    <n v="0"/>
    <n v="0.95"/>
    <n v="4E+20"/>
    <n v="1"/>
    <n v="1"/>
    <n v="2E+20"/>
  </r>
  <r>
    <x v="0"/>
    <s v="2026-05-03 15:37:54"/>
    <n v="1"/>
    <x v="9"/>
    <x v="3"/>
    <x v="1"/>
    <n v="0"/>
    <n v="2E+20"/>
    <n v="0"/>
    <n v="0"/>
    <n v="0"/>
    <n v="0"/>
    <s v="Unnamed ProjectMasa_Kapma.QueueNumber WaitingQueue"/>
    <n v="1"/>
    <n v="0"/>
    <n v="0"/>
    <n v="0.95"/>
    <n v="4E+20"/>
    <n v="0"/>
    <n v="0"/>
    <n v="2E+20"/>
  </r>
  <r>
    <x v="0"/>
    <s v="2026-05-03 15:37:54"/>
    <n v="1"/>
    <x v="10"/>
    <x v="0"/>
    <x v="0"/>
    <n v="0"/>
    <n v="2E+20"/>
    <n v="0"/>
    <n v="0"/>
    <n v="0"/>
    <n v="0"/>
    <s v="Unnamed ProjectParmak Ýzi CihazInstantaneous UtilizationResource"/>
    <n v="1"/>
    <n v="0"/>
    <n v="0"/>
    <n v="0.95"/>
    <n v="4E+20"/>
    <n v="0"/>
    <n v="0"/>
    <n v="2E+20"/>
  </r>
  <r>
    <x v="0"/>
    <s v="2026-05-03 15:37:54"/>
    <n v="1"/>
    <x v="10"/>
    <x v="1"/>
    <x v="0"/>
    <n v="0"/>
    <n v="2E+20"/>
    <n v="0"/>
    <n v="0"/>
    <n v="0"/>
    <n v="0"/>
    <s v="Unnamed ProjectParmak Ýzi CihazNumber BusyResource"/>
    <n v="1"/>
    <n v="0"/>
    <n v="0"/>
    <n v="0.95"/>
    <n v="4E+20"/>
    <n v="0"/>
    <n v="0"/>
    <n v="2E+20"/>
  </r>
  <r>
    <x v="0"/>
    <s v="2026-05-03 15:37:54"/>
    <n v="1"/>
    <x v="10"/>
    <x v="2"/>
    <x v="0"/>
    <n v="1"/>
    <n v="2E+20"/>
    <n v="1"/>
    <n v="1"/>
    <n v="1"/>
    <n v="0"/>
    <s v="Unnamed ProjectParmak Ýzi CihazNumber ScheduledResource"/>
    <n v="1"/>
    <n v="1"/>
    <n v="0"/>
    <n v="0.95"/>
    <n v="4E+20"/>
    <n v="1"/>
    <n v="1"/>
    <n v="2E+20"/>
  </r>
  <r>
    <x v="0"/>
    <s v="2026-05-03 15:37:54"/>
    <n v="1"/>
    <x v="11"/>
    <x v="3"/>
    <x v="1"/>
    <n v="1.2440682127114799"/>
    <n v="2E+20"/>
    <n v="0"/>
    <n v="2"/>
    <n v="2"/>
    <n v="0"/>
    <s v="Unnamed ProjectSebze_Hatti.QueueNumber WaitingQueue"/>
    <n v="1"/>
    <n v="1.2440682127114799"/>
    <n v="0"/>
    <n v="0.95"/>
    <n v="4E+20"/>
    <n v="1.2440682127114799"/>
    <n v="1.2440682127114799"/>
    <n v="2E+20"/>
  </r>
  <r>
    <x v="0"/>
    <s v="2026-05-03 15:37:54"/>
    <n v="1"/>
    <x v="12"/>
    <x v="0"/>
    <x v="0"/>
    <n v="0"/>
    <n v="2E+20"/>
    <n v="0"/>
    <n v="0"/>
    <n v="0"/>
    <n v="0"/>
    <s v="Unnamed ProjectSebze_Servis_PersoneliInstantaneous UtilizationResource"/>
    <n v="1"/>
    <n v="0"/>
    <n v="0"/>
    <n v="0.95"/>
    <n v="4E+20"/>
    <n v="0"/>
    <n v="0"/>
    <n v="2E+20"/>
  </r>
  <r>
    <x v="0"/>
    <s v="2026-05-03 15:37:54"/>
    <n v="1"/>
    <x v="12"/>
    <x v="1"/>
    <x v="0"/>
    <n v="0"/>
    <n v="2E+20"/>
    <n v="0"/>
    <n v="0"/>
    <n v="0"/>
    <n v="0"/>
    <s v="Unnamed ProjectSebze_Servis_PersoneliNumber BusyResource"/>
    <n v="1"/>
    <n v="0"/>
    <n v="0"/>
    <n v="0.95"/>
    <n v="4E+20"/>
    <n v="0"/>
    <n v="0"/>
    <n v="2E+20"/>
  </r>
  <r>
    <x v="0"/>
    <s v="2026-05-03 15:37:54"/>
    <n v="1"/>
    <x v="12"/>
    <x v="2"/>
    <x v="0"/>
    <n v="1"/>
    <n v="2E+20"/>
    <n v="1"/>
    <n v="1"/>
    <n v="1"/>
    <n v="0"/>
    <s v="Unnamed ProjectSebze_Servis_PersoneliNumber ScheduledResource"/>
    <n v="1"/>
    <n v="1"/>
    <n v="0"/>
    <n v="0.95"/>
    <n v="4E+20"/>
    <n v="1"/>
    <n v="1"/>
    <n v="2E+20"/>
  </r>
  <r>
    <x v="0"/>
    <s v="2026-05-03 15:37:54"/>
    <n v="1"/>
    <x v="13"/>
    <x v="3"/>
    <x v="1"/>
    <n v="0"/>
    <n v="2E+20"/>
    <n v="0"/>
    <n v="0"/>
    <n v="0"/>
    <n v="0"/>
    <s v="Unnamed ProjectTC_Giris_Sureci.QueueNumber WaitingQueue"/>
    <n v="1"/>
    <n v="0"/>
    <n v="0"/>
    <n v="0.95"/>
    <n v="4E+20"/>
    <n v="0"/>
    <n v="0"/>
    <n v="2E+20"/>
  </r>
  <r>
    <x v="0"/>
    <s v="2026-05-03 15:37:54"/>
    <n v="1"/>
    <x v="14"/>
    <x v="3"/>
    <x v="1"/>
    <n v="0"/>
    <n v="2E+20"/>
    <n v="0"/>
    <n v="0"/>
    <n v="0"/>
    <n v="0"/>
    <s v="Unnamed ProjectTepsi_Dokme.QueueNumber WaitingQueue"/>
    <n v="1"/>
    <n v="0"/>
    <n v="0"/>
    <n v="0.95"/>
    <n v="4E+20"/>
    <n v="0"/>
    <n v="0"/>
    <n v="2E+20"/>
  </r>
  <r>
    <x v="0"/>
    <s v="2026-05-03 15:37:54"/>
    <n v="1"/>
    <x v="15"/>
    <x v="3"/>
    <x v="1"/>
    <n v="0"/>
    <n v="2E+20"/>
    <n v="0"/>
    <n v="0"/>
    <n v="0"/>
    <n v="0"/>
    <s v="Unnamed ProjectTost_Siparisi.QueueNumber WaitingQueue"/>
    <n v="1"/>
    <n v="0"/>
    <n v="0"/>
    <n v="0.95"/>
    <n v="4E+20"/>
    <n v="0"/>
    <n v="0"/>
    <n v="2E+20"/>
  </r>
  <r>
    <x v="0"/>
    <s v="2026-05-03 15:37:54"/>
    <n v="1"/>
    <x v="16"/>
    <x v="3"/>
    <x v="1"/>
    <n v="0"/>
    <n v="2E+20"/>
    <n v="0"/>
    <n v="0"/>
    <n v="0"/>
    <n v="0"/>
    <s v="Unnamed Projectkahve_servis.QueueNumber WaitingQueue"/>
    <n v="1"/>
    <n v="0"/>
    <n v="0"/>
    <n v="0.95"/>
    <n v="4E+20"/>
    <n v="0"/>
    <n v="0"/>
    <n v="2E+20"/>
  </r>
  <r>
    <x v="0"/>
    <s v="2026-05-03 15:37:54"/>
    <n v="1"/>
    <x v="17"/>
    <x v="3"/>
    <x v="1"/>
    <n v="0"/>
    <n v="2E+20"/>
    <n v="0"/>
    <n v="0"/>
    <n v="0"/>
    <n v="0"/>
    <s v="Unnamed Projectsabir.QueueNumber WaitingQueue"/>
    <n v="1"/>
    <n v="0"/>
    <n v="0"/>
    <n v="0.95"/>
    <n v="4E+20"/>
    <n v="0"/>
    <n v="0"/>
    <n v="2E+20"/>
  </r>
  <r>
    <x v="0"/>
    <s v="2026-05-03 15:37:54"/>
    <n v="1"/>
    <x v="18"/>
    <x v="0"/>
    <x v="0"/>
    <n v="0"/>
    <n v="2E+20"/>
    <n v="0"/>
    <n v="0"/>
    <n v="0"/>
    <n v="0"/>
    <s v="Unnamed Projectsandaye ve masaInstantaneous UtilizationResource"/>
    <n v="1"/>
    <n v="0"/>
    <n v="0"/>
    <n v="0.95"/>
    <n v="4E+20"/>
    <n v="0"/>
    <n v="0"/>
    <n v="2E+20"/>
  </r>
  <r>
    <x v="0"/>
    <s v="2026-05-03 15:37:54"/>
    <n v="1"/>
    <x v="18"/>
    <x v="1"/>
    <x v="0"/>
    <n v="0"/>
    <n v="2E+20"/>
    <n v="0"/>
    <n v="0"/>
    <n v="0"/>
    <n v="0"/>
    <s v="Unnamed Projectsandaye ve masaNumber BusyResource"/>
    <n v="1"/>
    <n v="0"/>
    <n v="0"/>
    <n v="0.95"/>
    <n v="4E+20"/>
    <n v="0"/>
    <n v="0"/>
    <n v="2E+20"/>
  </r>
  <r>
    <x v="0"/>
    <s v="2026-05-03 15:37:54"/>
    <n v="1"/>
    <x v="18"/>
    <x v="2"/>
    <x v="0"/>
    <n v="2000"/>
    <n v="2E+20"/>
    <n v="2000"/>
    <n v="2000"/>
    <n v="2000"/>
    <n v="0"/>
    <s v="Unnamed Projectsandaye ve masaNumber ScheduledResource"/>
    <n v="1"/>
    <n v="2000"/>
    <n v="0"/>
    <n v="0.95"/>
    <n v="4E+20"/>
    <n v="2000"/>
    <n v="2000"/>
    <n v="2E+20"/>
  </r>
  <r>
    <x v="0"/>
    <s v="2026-05-03 15:37:54"/>
    <n v="1"/>
    <x v="19"/>
    <x v="3"/>
    <x v="1"/>
    <n v="0"/>
    <n v="2E+20"/>
    <n v="0"/>
    <n v="0"/>
    <n v="0"/>
    <n v="0"/>
    <s v="Unnamed Projectyemekhane_girisine_kapasite.QueueNumber WaitingQueue"/>
    <n v="1"/>
    <n v="0"/>
    <n v="0"/>
    <n v="0.95"/>
    <n v="4E+20"/>
    <n v="0"/>
    <n v="0"/>
    <n v="2E+2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">
  <r>
    <x v="0"/>
    <m/>
    <m/>
    <x v="0"/>
    <x v="0"/>
    <x v="0"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9">
  <r>
    <x v="0"/>
    <s v="2026-05-03 15:37:54"/>
    <n v="1"/>
    <x v="0"/>
    <x v="0"/>
    <x v="0"/>
    <n v="0.78371656617219099"/>
    <n v="2E+20"/>
    <n v="0.606542293942402"/>
    <n v="0.96089083840198097"/>
    <n v="2"/>
    <s v="Unnamed ProjectEkmek_Bekleme_Noktasi.QueueWaiting TimeQueue"/>
    <n v="1"/>
    <n v="0.78371656617219099"/>
    <n v="0"/>
    <n v="0.95"/>
    <n v="4E+20"/>
    <n v="0.78371656617219099"/>
    <n v="0.78371656617219099"/>
    <n v="0.606542293942402"/>
    <n v="0.96089083840198097"/>
    <n v="2"/>
    <n v="2E+20"/>
    <n v="1"/>
    <n v="1"/>
  </r>
  <r>
    <x v="0"/>
    <s v="2026-05-03 15:37:54"/>
    <n v="1"/>
    <x v="1"/>
    <x v="1"/>
    <x v="1"/>
    <n v="0"/>
    <n v="2E+20"/>
    <n v="0"/>
    <n v="0"/>
    <n v="22"/>
    <s v="Unnamed ProjectEntity 1NVA TimeEntity"/>
    <n v="1"/>
    <n v="0"/>
    <n v="0"/>
    <n v="0.95"/>
    <n v="4E+20"/>
    <n v="0"/>
    <n v="0"/>
    <n v="0"/>
    <n v="0"/>
    <n v="22"/>
    <n v="2E+20"/>
    <n v="1"/>
    <n v="1"/>
  </r>
  <r>
    <x v="0"/>
    <s v="2026-05-03 15:37:54"/>
    <n v="1"/>
    <x v="1"/>
    <x v="2"/>
    <x v="1"/>
    <n v="0"/>
    <n v="2E+20"/>
    <n v="0"/>
    <n v="0"/>
    <n v="22"/>
    <s v="Unnamed ProjectEntity 1Other TimeEntity"/>
    <n v="1"/>
    <n v="0"/>
    <n v="0"/>
    <n v="0.95"/>
    <n v="4E+20"/>
    <n v="0"/>
    <n v="0"/>
    <n v="0"/>
    <n v="0"/>
    <n v="22"/>
    <n v="2E+20"/>
    <n v="1"/>
    <n v="1"/>
  </r>
  <r>
    <x v="0"/>
    <s v="2026-05-03 15:37:54"/>
    <n v="1"/>
    <x v="1"/>
    <x v="3"/>
    <x v="1"/>
    <n v="0"/>
    <n v="2E+20"/>
    <n v="0"/>
    <n v="0"/>
    <n v="22"/>
    <s v="Unnamed ProjectEntity 1Total TimeEntity"/>
    <n v="1"/>
    <n v="0"/>
    <n v="0"/>
    <n v="0.95"/>
    <n v="4E+20"/>
    <n v="0"/>
    <n v="0"/>
    <n v="0"/>
    <n v="0"/>
    <n v="22"/>
    <n v="2E+20"/>
    <n v="1"/>
    <n v="1"/>
  </r>
  <r>
    <x v="0"/>
    <s v="2026-05-03 15:37:54"/>
    <n v="1"/>
    <x v="1"/>
    <x v="4"/>
    <x v="1"/>
    <n v="0"/>
    <n v="2E+20"/>
    <n v="0"/>
    <n v="0"/>
    <n v="22"/>
    <s v="Unnamed ProjectEntity 1Transfer TimeEntity"/>
    <n v="1"/>
    <n v="0"/>
    <n v="0"/>
    <n v="0.95"/>
    <n v="4E+20"/>
    <n v="0"/>
    <n v="0"/>
    <n v="0"/>
    <n v="0"/>
    <n v="22"/>
    <n v="2E+20"/>
    <n v="1"/>
    <n v="1"/>
  </r>
  <r>
    <x v="0"/>
    <s v="2026-05-03 15:37:54"/>
    <n v="1"/>
    <x v="1"/>
    <x v="5"/>
    <x v="1"/>
    <n v="0"/>
    <n v="2E+20"/>
    <n v="0"/>
    <n v="0"/>
    <n v="22"/>
    <s v="Unnamed ProjectEntity 1VA TimeEntity"/>
    <n v="1"/>
    <n v="0"/>
    <n v="0"/>
    <n v="0.95"/>
    <n v="4E+20"/>
    <n v="0"/>
    <n v="0"/>
    <n v="0"/>
    <n v="0"/>
    <n v="22"/>
    <n v="2E+20"/>
    <n v="1"/>
    <n v="1"/>
  </r>
  <r>
    <x v="0"/>
    <s v="2026-05-03 15:37:54"/>
    <n v="1"/>
    <x v="1"/>
    <x v="6"/>
    <x v="1"/>
    <n v="0"/>
    <n v="2E+20"/>
    <n v="0"/>
    <n v="0"/>
    <n v="22"/>
    <s v="Unnamed ProjectEntity 1Wait TimeEntity"/>
    <n v="1"/>
    <n v="0"/>
    <n v="0"/>
    <n v="0.95"/>
    <n v="4E+20"/>
    <n v="0"/>
    <n v="0"/>
    <n v="0"/>
    <n v="0"/>
    <n v="22"/>
    <n v="2E+20"/>
    <n v="1"/>
    <n v="1"/>
  </r>
  <r>
    <x v="0"/>
    <s v="2026-05-03 15:37:54"/>
    <n v="1"/>
    <x v="2"/>
    <x v="7"/>
    <x v="2"/>
    <n v="1.4840787956933601"/>
    <n v="2E+20"/>
    <n v="0.69230453514027801"/>
    <n v="2.2758530562464498"/>
    <n v="2"/>
    <s v="Unnamed Projectgiris_zamaniIntervalUser Specified"/>
    <n v="1"/>
    <n v="1.4840787956933601"/>
    <n v="0"/>
    <n v="0.95"/>
    <n v="4E+20"/>
    <n v="1.4840787956933601"/>
    <n v="1.4840787956933601"/>
    <n v="0.69230453514027801"/>
    <n v="2.2758530562464498"/>
    <n v="2"/>
    <n v="2E+20"/>
    <n v="1"/>
    <n v="1"/>
  </r>
  <r>
    <x v="0"/>
    <s v="2026-05-03 15:37:54"/>
    <n v="1"/>
    <x v="3"/>
    <x v="0"/>
    <x v="0"/>
    <n v="0"/>
    <n v="2E+20"/>
    <n v="0"/>
    <n v="0"/>
    <n v="2"/>
    <s v="Unnamed Projectyemekhane_girisine_kapasite.QueueWaiting TimeQueue"/>
    <n v="1"/>
    <n v="0"/>
    <n v="0"/>
    <n v="0.95"/>
    <n v="4E+20"/>
    <n v="0"/>
    <n v="0"/>
    <n v="0"/>
    <n v="0"/>
    <n v="2"/>
    <n v="2E+20"/>
    <n v="1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9">
  <r>
    <x v="0"/>
    <s v="2026-05-03 15:37:54"/>
    <n v="1"/>
    <x v="0"/>
    <x v="0"/>
    <x v="0"/>
    <n v="0"/>
    <n v="0"/>
    <s v="Unnamed ProjectCop_Kovasi_Alani.NumberSeizedTotal Number SeizedResource"/>
    <n v="1"/>
    <n v="0"/>
    <n v="0"/>
    <n v="0.95"/>
    <n v="4E+20"/>
    <n v="0"/>
    <n v="0"/>
  </r>
  <r>
    <x v="0"/>
    <s v="2026-05-03 15:37:54"/>
    <n v="1"/>
    <x v="1"/>
    <x v="1"/>
    <x v="0"/>
    <n v="0"/>
    <n v="0"/>
    <s v="Unnamed ProjectCop_Kovasi_Alani.ScheduledUtilizationScheduled UtilizationResource"/>
    <n v="1"/>
    <n v="0"/>
    <n v="0"/>
    <n v="0.95"/>
    <n v="4E+20"/>
    <n v="0"/>
    <n v="0"/>
  </r>
  <r>
    <x v="0"/>
    <s v="2026-05-03 15:37:54"/>
    <n v="1"/>
    <x v="2"/>
    <x v="2"/>
    <x v="1"/>
    <n v="24"/>
    <n v="0"/>
    <s v="Unnamed ProjectEntity 1.NumberInNumber InEntity"/>
    <n v="1"/>
    <n v="24"/>
    <n v="0"/>
    <n v="0.95"/>
    <n v="4E+20"/>
    <n v="24"/>
    <n v="24"/>
  </r>
  <r>
    <x v="0"/>
    <s v="2026-05-03 15:37:54"/>
    <n v="1"/>
    <x v="3"/>
    <x v="3"/>
    <x v="1"/>
    <n v="22"/>
    <n v="0"/>
    <s v="Unnamed ProjectEntity 1.NumberOutNumber OutEntity"/>
    <n v="1"/>
    <n v="22"/>
    <n v="0"/>
    <n v="0.95"/>
    <n v="4E+20"/>
    <n v="22"/>
    <n v="22"/>
  </r>
  <r>
    <x v="0"/>
    <s v="2026-05-03 15:37:54"/>
    <n v="1"/>
    <x v="4"/>
    <x v="0"/>
    <x v="0"/>
    <n v="0"/>
    <n v="0"/>
    <s v="Unnamed ProjectEt_Servis_Personeli.NumberSeizedTotal Number SeizedResource"/>
    <n v="1"/>
    <n v="0"/>
    <n v="0"/>
    <n v="0.95"/>
    <n v="4E+20"/>
    <n v="0"/>
    <n v="0"/>
  </r>
  <r>
    <x v="0"/>
    <s v="2026-05-03 15:37:54"/>
    <n v="1"/>
    <x v="5"/>
    <x v="1"/>
    <x v="0"/>
    <n v="0"/>
    <n v="0"/>
    <s v="Unnamed ProjectEt_Servis_Personeli.ScheduledUtilizationScheduled UtilizationResource"/>
    <n v="1"/>
    <n v="0"/>
    <n v="0"/>
    <n v="0.95"/>
    <n v="4E+20"/>
    <n v="0"/>
    <n v="0"/>
  </r>
  <r>
    <x v="0"/>
    <s v="2026-05-03 15:37:54"/>
    <n v="1"/>
    <x v="6"/>
    <x v="0"/>
    <x v="0"/>
    <n v="0"/>
    <n v="0"/>
    <s v="Unnamed ProjectKahve_Alani_Koltuk.NumberSeizedTotal Number SeizedResource"/>
    <n v="1"/>
    <n v="0"/>
    <n v="0"/>
    <n v="0.95"/>
    <n v="4E+20"/>
    <n v="0"/>
    <n v="0"/>
  </r>
  <r>
    <x v="0"/>
    <s v="2026-05-03 15:37:54"/>
    <n v="1"/>
    <x v="7"/>
    <x v="1"/>
    <x v="0"/>
    <n v="0"/>
    <n v="0"/>
    <s v="Unnamed ProjectKahve_Alani_Koltuk.ScheduledUtilizationScheduled UtilizationResource"/>
    <n v="1"/>
    <n v="0"/>
    <n v="0"/>
    <n v="0.95"/>
    <n v="4E+20"/>
    <n v="0"/>
    <n v="0"/>
  </r>
  <r>
    <x v="0"/>
    <s v="2026-05-03 15:37:54"/>
    <n v="1"/>
    <x v="8"/>
    <x v="0"/>
    <x v="0"/>
    <n v="0"/>
    <n v="0"/>
    <s v="Unnamed ProjectKahve_Makinesi.NumberSeizedTotal Number SeizedResource"/>
    <n v="1"/>
    <n v="0"/>
    <n v="0"/>
    <n v="0.95"/>
    <n v="4E+20"/>
    <n v="0"/>
    <n v="0"/>
  </r>
  <r>
    <x v="0"/>
    <s v="2026-05-03 15:37:54"/>
    <n v="1"/>
    <x v="9"/>
    <x v="1"/>
    <x v="0"/>
    <n v="0"/>
    <n v="0"/>
    <s v="Unnamed ProjectKahve_Makinesi.ScheduledUtilizationScheduled UtilizationResource"/>
    <n v="1"/>
    <n v="0"/>
    <n v="0"/>
    <n v="0.95"/>
    <n v="4E+20"/>
    <n v="0"/>
    <n v="0"/>
  </r>
  <r>
    <x v="0"/>
    <s v="2026-05-03 15:37:54"/>
    <n v="1"/>
    <x v="10"/>
    <x v="0"/>
    <x v="0"/>
    <n v="0"/>
    <n v="0"/>
    <s v="Unnamed ProjectKantin_Gorevlisi.NumberSeizedTotal Number SeizedResource"/>
    <n v="1"/>
    <n v="0"/>
    <n v="0"/>
    <n v="0.95"/>
    <n v="4E+20"/>
    <n v="0"/>
    <n v="0"/>
  </r>
  <r>
    <x v="0"/>
    <s v="2026-05-03 15:37:54"/>
    <n v="1"/>
    <x v="11"/>
    <x v="1"/>
    <x v="0"/>
    <n v="0"/>
    <n v="0"/>
    <s v="Unnamed ProjectKantin_Gorevlisi.ScheduledUtilizationScheduled UtilizationResource"/>
    <n v="1"/>
    <n v="0"/>
    <n v="0"/>
    <n v="0.95"/>
    <n v="4E+20"/>
    <n v="0"/>
    <n v="0"/>
  </r>
  <r>
    <x v="0"/>
    <s v="2026-05-03 15:37:54"/>
    <n v="1"/>
    <x v="12"/>
    <x v="0"/>
    <x v="0"/>
    <n v="0"/>
    <n v="0"/>
    <s v="Unnamed ProjectParmak Ýzi Cihaz.NumberSeizedTotal Number SeizedResource"/>
    <n v="1"/>
    <n v="0"/>
    <n v="0"/>
    <n v="0.95"/>
    <n v="4E+20"/>
    <n v="0"/>
    <n v="0"/>
  </r>
  <r>
    <x v="0"/>
    <s v="2026-05-03 15:37:54"/>
    <n v="1"/>
    <x v="13"/>
    <x v="1"/>
    <x v="0"/>
    <n v="0"/>
    <n v="0"/>
    <s v="Unnamed ProjectParmak Ýzi Cihaz.ScheduledUtilizationScheduled UtilizationResource"/>
    <n v="1"/>
    <n v="0"/>
    <n v="0"/>
    <n v="0.95"/>
    <n v="4E+20"/>
    <n v="0"/>
    <n v="0"/>
  </r>
  <r>
    <x v="0"/>
    <s v="2026-05-03 15:37:54"/>
    <n v="1"/>
    <x v="14"/>
    <x v="0"/>
    <x v="0"/>
    <n v="0"/>
    <n v="0"/>
    <s v="Unnamed ProjectSebze_Servis_Personeli.NumberSeizedTotal Number SeizedResource"/>
    <n v="1"/>
    <n v="0"/>
    <n v="0"/>
    <n v="0.95"/>
    <n v="4E+20"/>
    <n v="0"/>
    <n v="0"/>
  </r>
  <r>
    <x v="0"/>
    <s v="2026-05-03 15:37:54"/>
    <n v="1"/>
    <x v="15"/>
    <x v="1"/>
    <x v="0"/>
    <n v="0"/>
    <n v="0"/>
    <s v="Unnamed ProjectSebze_Servis_Personeli.ScheduledUtilizationScheduled UtilizationResource"/>
    <n v="1"/>
    <n v="0"/>
    <n v="0"/>
    <n v="0.95"/>
    <n v="4E+20"/>
    <n v="0"/>
    <n v="0"/>
  </r>
  <r>
    <x v="0"/>
    <s v="2026-05-03 15:37:54"/>
    <n v="1"/>
    <x v="16"/>
    <x v="3"/>
    <x v="2"/>
    <n v="22"/>
    <n v="0"/>
    <s v="Unnamed ProjectSystem.NumberOutNumber OutSystem"/>
    <n v="1"/>
    <n v="22"/>
    <n v="0"/>
    <n v="0.95"/>
    <n v="4E+20"/>
    <n v="22"/>
    <n v="22"/>
  </r>
  <r>
    <x v="0"/>
    <s v="2026-05-03 15:37:54"/>
    <n v="1"/>
    <x v="17"/>
    <x v="0"/>
    <x v="0"/>
    <n v="0"/>
    <n v="0"/>
    <s v="Unnamed Projectsandaye ve masa.NumberSeizedTotal Number SeizedResource"/>
    <n v="1"/>
    <n v="0"/>
    <n v="0"/>
    <n v="0.95"/>
    <n v="4E+20"/>
    <n v="0"/>
    <n v="0"/>
  </r>
  <r>
    <x v="0"/>
    <s v="2026-05-03 15:37:54"/>
    <n v="1"/>
    <x v="18"/>
    <x v="1"/>
    <x v="0"/>
    <n v="0"/>
    <n v="0"/>
    <s v="Unnamed Projectsandaye ve masa.ScheduledUtilizationScheduled UtilizationResource"/>
    <n v="1"/>
    <n v="0"/>
    <n v="0"/>
    <n v="0.95"/>
    <n v="4E+20"/>
    <n v="0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1">
  <r>
    <x v="0"/>
    <m/>
    <m/>
    <x v="0"/>
    <x v="0"/>
    <x v="0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name="ContinuousTimePivot" cacheId="135" applyNumberFormats="0" applyBorderFormats="0" applyFontFormats="0" applyPatternFormats="0" applyAlignmentFormats="0" applyWidthHeightFormats="1" dataCaption="Values" updatedVersion="6" minRefreshableVersion="3" showDataTips="0" useAutoFormatting="1" rowGrandTotals="0" colGrandTotals="0" itemPrintTitles="1" createdVersion="7" indent="0" compact="0" compactData="0" multipleFieldFilters="0">
  <location ref="O2:Y38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43">
        <item m="1" x="35"/>
        <item m="1" x="26"/>
        <item m="1" x="42"/>
        <item m="1" x="51"/>
        <item m="1" x="64"/>
        <item m="1" x="63"/>
        <item m="1" x="27"/>
        <item m="1" x="128"/>
        <item m="1" x="106"/>
        <item m="1" x="69"/>
        <item m="1" x="56"/>
        <item m="1" x="60"/>
        <item x="2"/>
        <item m="1" x="45"/>
        <item m="1" x="127"/>
        <item m="1" x="49"/>
        <item m="1" x="100"/>
        <item m="1" x="114"/>
        <item m="1" x="24"/>
        <item m="1" x="50"/>
        <item m="1" x="137"/>
        <item m="1" x="39"/>
        <item m="1" x="129"/>
        <item m="1" x="28"/>
        <item m="1" x="55"/>
        <item m="1" x="81"/>
        <item m="1" x="25"/>
        <item m="1" x="31"/>
        <item m="1" x="101"/>
        <item m="1" x="82"/>
        <item m="1" x="116"/>
        <item m="1" x="72"/>
        <item m="1" x="36"/>
        <item m="1" x="66"/>
        <item m="1" x="102"/>
        <item m="1" x="87"/>
        <item m="1" x="37"/>
        <item m="1" x="47"/>
        <item m="1" x="109"/>
        <item m="1" x="23"/>
        <item m="1" x="136"/>
        <item m="1" x="94"/>
        <item m="1" x="34"/>
        <item m="1" x="119"/>
        <item m="1" x="65"/>
        <item m="1" x="138"/>
        <item m="1" x="99"/>
        <item m="1" x="41"/>
        <item m="1" x="86"/>
        <item m="1" x="105"/>
        <item m="1" x="118"/>
        <item m="1" x="126"/>
        <item m="1" x="135"/>
        <item m="1" x="22"/>
        <item m="1" x="40"/>
        <item m="1" x="54"/>
        <item m="1" x="43"/>
        <item m="1" x="21"/>
        <item m="1" x="115"/>
        <item m="1" x="132"/>
        <item m="1" x="58"/>
        <item m="1" x="93"/>
        <item m="1" x="46"/>
        <item m="1" x="67"/>
        <item m="1" x="52"/>
        <item m="1" x="76"/>
        <item m="1" x="61"/>
        <item m="1" x="83"/>
        <item m="1" x="68"/>
        <item m="1" x="95"/>
        <item m="1" x="77"/>
        <item m="1" x="103"/>
        <item m="1" x="84"/>
        <item m="1" x="112"/>
        <item m="1" x="96"/>
        <item m="1" x="117"/>
        <item m="1" x="104"/>
        <item m="1" x="121"/>
        <item m="1" x="133"/>
        <item m="1" x="123"/>
        <item m="1" x="107"/>
        <item m="1" x="80"/>
        <item m="1" x="59"/>
        <item m="1" x="74"/>
        <item m="1" x="38"/>
        <item m="1" x="44"/>
        <item m="1" x="53"/>
        <item m="1" x="57"/>
        <item m="1" x="89"/>
        <item m="1" x="134"/>
        <item m="1" x="124"/>
        <item m="1" x="108"/>
        <item m="1" x="75"/>
        <item m="1" x="142"/>
        <item m="1" x="91"/>
        <item m="1" x="79"/>
        <item m="1" x="111"/>
        <item m="1" x="92"/>
        <item m="1" x="71"/>
        <item m="1" x="78"/>
        <item m="1" x="32"/>
        <item m="1" x="97"/>
        <item m="1" x="113"/>
        <item m="1" x="122"/>
        <item m="1" x="130"/>
        <item m="1" x="141"/>
        <item m="1" x="29"/>
        <item m="1" x="48"/>
        <item m="1" x="140"/>
        <item m="1" x="30"/>
        <item m="1" x="98"/>
        <item m="1" x="73"/>
        <item m="1" x="88"/>
        <item m="1" x="33"/>
        <item m="1" x="139"/>
        <item m="1" x="120"/>
        <item m="1" x="70"/>
        <item m="1" x="131"/>
        <item m="1" x="90"/>
        <item m="1" x="110"/>
        <item m="1" x="125"/>
        <item m="1" x="62"/>
        <item m="1" x="85"/>
        <item m="1" x="20"/>
        <item x="0"/>
        <item x="1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</items>
    </pivotField>
    <pivotField axis="axisRow" compact="0" outline="0" showAll="0" defaultSubtotal="0">
      <items count="7">
        <item x="0"/>
        <item x="1"/>
        <item x="2"/>
        <item x="3"/>
        <item x="4"/>
        <item m="1" x="6"/>
        <item m="1" x="5"/>
      </items>
    </pivotField>
    <pivotField axis="axisRow" compact="0" outline="0" showAll="0" defaultSubtotal="0">
      <items count="5">
        <item x="2"/>
        <item x="1"/>
        <item x="0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36">
    <i>
      <x v="3"/>
      <x v="12"/>
      <x v="4"/>
      <x/>
    </i>
    <i r="1">
      <x v="124"/>
      <x/>
      <x v="2"/>
    </i>
    <i r="2">
      <x v="1"/>
      <x v="2"/>
    </i>
    <i r="2">
      <x v="2"/>
      <x v="2"/>
    </i>
    <i r="1">
      <x v="125"/>
      <x v="3"/>
      <x v="1"/>
    </i>
    <i r="1">
      <x v="126"/>
      <x v="3"/>
      <x v="1"/>
    </i>
    <i r="1">
      <x v="127"/>
      <x/>
      <x v="2"/>
    </i>
    <i r="2">
      <x v="1"/>
      <x v="2"/>
    </i>
    <i r="2">
      <x v="2"/>
      <x v="2"/>
    </i>
    <i r="1">
      <x v="128"/>
      <x v="3"/>
      <x v="1"/>
    </i>
    <i r="1">
      <x v="129"/>
      <x/>
      <x v="2"/>
    </i>
    <i r="2">
      <x v="1"/>
      <x v="2"/>
    </i>
    <i r="2">
      <x v="2"/>
      <x v="2"/>
    </i>
    <i r="1">
      <x v="130"/>
      <x/>
      <x v="2"/>
    </i>
    <i r="2">
      <x v="1"/>
      <x v="2"/>
    </i>
    <i r="2">
      <x v="2"/>
      <x v="2"/>
    </i>
    <i r="1">
      <x v="131"/>
      <x/>
      <x v="2"/>
    </i>
    <i r="2">
      <x v="1"/>
      <x v="2"/>
    </i>
    <i r="2">
      <x v="2"/>
      <x v="2"/>
    </i>
    <i r="1">
      <x v="132"/>
      <x v="3"/>
      <x v="1"/>
    </i>
    <i r="1">
      <x v="133"/>
      <x/>
      <x v="2"/>
    </i>
    <i r="2">
      <x v="1"/>
      <x v="2"/>
    </i>
    <i r="2">
      <x v="2"/>
      <x v="2"/>
    </i>
    <i r="1">
      <x v="134"/>
      <x v="3"/>
      <x v="1"/>
    </i>
    <i r="1">
      <x v="135"/>
      <x/>
      <x v="2"/>
    </i>
    <i r="2">
      <x v="1"/>
      <x v="2"/>
    </i>
    <i r="2">
      <x v="2"/>
      <x v="2"/>
    </i>
    <i r="1">
      <x v="136"/>
      <x v="3"/>
      <x v="1"/>
    </i>
    <i r="1">
      <x v="137"/>
      <x v="3"/>
      <x v="1"/>
    </i>
    <i r="1">
      <x v="138"/>
      <x v="3"/>
      <x v="1"/>
    </i>
    <i r="1">
      <x v="139"/>
      <x v="3"/>
      <x v="1"/>
    </i>
    <i r="1">
      <x v="140"/>
      <x v="3"/>
      <x v="1"/>
    </i>
    <i r="1">
      <x v="141"/>
      <x/>
      <x v="2"/>
    </i>
    <i r="2">
      <x v="1"/>
      <x v="2"/>
    </i>
    <i r="2">
      <x v="2"/>
      <x v="2"/>
    </i>
    <i r="1">
      <x v="142"/>
      <x v="3"/>
      <x v="1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name="FrequencyPivot" cacheId="141" applyNumberFormats="0" applyBorderFormats="0" applyFontFormats="0" applyPatternFormats="0" applyAlignmentFormats="0" applyWidthHeightFormats="1" dataCaption="Values" updatedVersion="6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67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name="DiscreteTimePivot" cacheId="147" applyNumberFormats="0" applyBorderFormats="0" applyFontFormats="0" applyPatternFormats="0" applyAlignmentFormats="0" applyWidthHeightFormats="1" dataCaption="Values" updatedVersion="6" minRefreshableVersion="3" showDataTips="0" useAutoFormatting="1" rowGrandTotals="0" colGrandTotals="0" itemPrintTitles="1" createdVersion="7" indent="0" compact="0" compactData="0" multipleFieldFilters="0">
  <location ref="A2:M11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2">
        <item m="1" x="14"/>
        <item m="1" x="37"/>
        <item m="1" x="9"/>
        <item m="1" x="89"/>
        <item m="1" x="72"/>
        <item m="1" x="42"/>
        <item m="1" x="98"/>
        <item m="1" x="30"/>
        <item m="1" x="34"/>
        <item x="1"/>
        <item m="1" x="67"/>
        <item m="1" x="79"/>
        <item m="1" x="84"/>
        <item m="1" x="8"/>
        <item m="1" x="36"/>
        <item m="1" x="26"/>
        <item m="1" x="101"/>
        <item m="1" x="96"/>
        <item m="1" x="24"/>
        <item m="1" x="18"/>
        <item m="1" x="90"/>
        <item m="1" x="10"/>
        <item m="1" x="43"/>
        <item m="1" x="29"/>
        <item m="1" x="54"/>
        <item m="1" x="81"/>
        <item m="1" x="45"/>
        <item m="1" x="15"/>
        <item m="1" x="39"/>
        <item m="1" x="68"/>
        <item m="1" x="58"/>
        <item m="1" x="16"/>
        <item m="1" x="75"/>
        <item m="1" x="7"/>
        <item m="1" x="95"/>
        <item m="1" x="63"/>
        <item m="1" x="83"/>
        <item m="1" x="38"/>
        <item m="1" x="97"/>
        <item m="1" x="66"/>
        <item m="1" x="20"/>
        <item m="1" x="57"/>
        <item m="1" x="71"/>
        <item m="1" x="82"/>
        <item m="1" x="88"/>
        <item m="1" x="6"/>
        <item m="1" x="19"/>
        <item m="1" x="28"/>
        <item m="1" x="21"/>
        <item m="1" x="5"/>
        <item m="1" x="80"/>
        <item m="1" x="92"/>
        <item m="1" x="32"/>
        <item m="1" x="62"/>
        <item m="1" x="23"/>
        <item m="1" x="40"/>
        <item m="1" x="27"/>
        <item m="1" x="48"/>
        <item m="1" x="35"/>
        <item m="1" x="55"/>
        <item m="1" x="41"/>
        <item m="1" x="64"/>
        <item m="1" x="49"/>
        <item m="1" x="69"/>
        <item m="1" x="56"/>
        <item m="1" x="77"/>
        <item m="1" x="70"/>
        <item m="1" x="85"/>
        <item m="1" x="93"/>
        <item m="1" x="73"/>
        <item m="1" x="52"/>
        <item m="1" x="33"/>
        <item m="1" x="46"/>
        <item m="1" x="17"/>
        <item m="1" x="22"/>
        <item m="1" x="31"/>
        <item m="1" x="59"/>
        <item m="1" x="94"/>
        <item m="1" x="87"/>
        <item m="1" x="74"/>
        <item m="1" x="47"/>
        <item m="1" x="60"/>
        <item m="1" x="51"/>
        <item m="1" x="76"/>
        <item m="1" x="61"/>
        <item m="1" x="44"/>
        <item m="1" x="50"/>
        <item m="1" x="13"/>
        <item m="1" x="53"/>
        <item m="1" x="65"/>
        <item m="1" x="78"/>
        <item m="1" x="86"/>
        <item m="1" x="91"/>
        <item m="1" x="100"/>
        <item m="1" x="11"/>
        <item m="1" x="25"/>
        <item m="1" x="99"/>
        <item m="1" x="12"/>
        <item m="1" x="4"/>
        <item x="0"/>
        <item x="3"/>
        <item x="2"/>
      </items>
    </pivotField>
    <pivotField axis="axisRow" compact="0" outline="0" showAll="0" defaultSubtotal="0">
      <items count="12">
        <item x="7"/>
        <item x="1"/>
        <item x="2"/>
        <item x="3"/>
        <item x="4"/>
        <item x="5"/>
        <item x="6"/>
        <item x="0"/>
        <item m="1" x="9"/>
        <item m="1" x="10"/>
        <item m="1" x="11"/>
        <item m="1" x="8"/>
      </items>
    </pivotField>
    <pivotField axis="axisRow" compact="0" outline="0" showAll="0" defaultSubtotal="0">
      <items count="5">
        <item x="1"/>
        <item x="0"/>
        <item x="2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9">
    <i>
      <x v="3"/>
      <x v="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99"/>
      <x v="7"/>
      <x v="1"/>
    </i>
    <i r="1">
      <x v="100"/>
      <x v="7"/>
      <x v="1"/>
    </i>
    <i r="1">
      <x v="101"/>
      <x/>
      <x v="2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name="OutputPivot" cacheId="153" applyNumberFormats="0" applyBorderFormats="0" applyFontFormats="0" applyPatternFormats="0" applyAlignmentFormats="0" applyWidthHeightFormats="1" dataCaption="Values" updatedVersion="6" minRefreshableVersion="3" showDataTips="0" useAutoFormatting="1" rowGrandTotals="0" colGrandTotals="0" itemPrintTitles="1" createdVersion="7" indent="0" compact="0" compactData="0" multipleFieldFilters="0">
  <location ref="AK2:AS21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95">
        <item m="1" x="44"/>
        <item m="1" x="20"/>
        <item m="1" x="45"/>
        <item m="1" x="21"/>
        <item m="1" x="46"/>
        <item m="1" x="22"/>
        <item m="1" x="47"/>
        <item m="1" x="23"/>
        <item m="1" x="79"/>
        <item m="1" x="34"/>
        <item x="16"/>
        <item m="1" x="78"/>
        <item m="1" x="65"/>
        <item m="1" x="82"/>
        <item m="1" x="67"/>
        <item x="2"/>
        <item x="3"/>
        <item m="1" x="59"/>
        <item m="1" x="27"/>
        <item m="1" x="76"/>
        <item m="1" x="66"/>
        <item m="1" x="64"/>
        <item m="1" x="30"/>
        <item m="1" x="74"/>
        <item m="1" x="39"/>
        <item m="1" x="75"/>
        <item m="1" x="40"/>
        <item m="1" x="73"/>
        <item m="1" x="91"/>
        <item m="1" x="33"/>
        <item m="1" x="94"/>
        <item m="1" x="61"/>
        <item m="1" x="28"/>
        <item m="1" x="89"/>
        <item m="1" x="85"/>
        <item m="1" x="62"/>
        <item m="1" x="29"/>
        <item m="1" x="90"/>
        <item m="1" x="86"/>
        <item m="1" x="24"/>
        <item m="1" x="58"/>
        <item m="1" x="42"/>
        <item m="1" x="32"/>
        <item m="1" x="83"/>
        <item m="1" x="54"/>
        <item m="1" x="84"/>
        <item m="1" x="55"/>
        <item m="1" x="41"/>
        <item m="1" x="36"/>
        <item m="1" x="63"/>
        <item m="1" x="38"/>
        <item m="1" x="93"/>
        <item m="1" x="87"/>
        <item m="1" x="37"/>
        <item m="1" x="35"/>
        <item m="1" x="80"/>
        <item m="1" x="88"/>
        <item m="1" x="25"/>
        <item m="1" x="43"/>
        <item m="1" x="56"/>
        <item m="1" x="77"/>
        <item m="1" x="92"/>
        <item m="1" x="26"/>
        <item m="1" x="53"/>
        <item m="1" x="57"/>
        <item m="1" x="81"/>
        <item m="1" x="60"/>
        <item m="1" x="31"/>
        <item m="1" x="48"/>
        <item m="1" x="68"/>
        <item m="1" x="49"/>
        <item m="1" x="69"/>
        <item m="1" x="50"/>
        <item m="1" x="70"/>
        <item m="1" x="51"/>
        <item m="1" x="71"/>
        <item m="1" x="52"/>
        <item m="1" x="72"/>
        <item m="1" x="19"/>
        <item x="0"/>
        <item x="1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7"/>
        <item x="18"/>
      </items>
    </pivotField>
    <pivotField axis="axisRow" compact="0" outline="0" showAll="0" defaultSubtotal="0">
      <items count="7">
        <item x="2"/>
        <item x="3"/>
        <item x="1"/>
        <item x="0"/>
        <item m="1" x="5"/>
        <item m="1" x="6"/>
        <item m="1" x="4"/>
      </items>
    </pivotField>
    <pivotField axis="axisRow" compact="0" outline="0" showAll="0" defaultSubtotal="0">
      <items count="5">
        <item x="1"/>
        <item x="0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9">
    <i>
      <x v="3"/>
      <x v="10"/>
      <x v="1"/>
      <x v="2"/>
    </i>
    <i r="1">
      <x v="15"/>
      <x/>
      <x/>
    </i>
    <i r="1">
      <x v="16"/>
      <x v="1"/>
      <x/>
    </i>
    <i r="1">
      <x v="79"/>
      <x v="3"/>
      <x v="1"/>
    </i>
    <i r="1">
      <x v="80"/>
      <x v="2"/>
      <x v="1"/>
    </i>
    <i r="1">
      <x v="81"/>
      <x v="3"/>
      <x v="1"/>
    </i>
    <i r="1">
      <x v="82"/>
      <x v="2"/>
      <x v="1"/>
    </i>
    <i r="1">
      <x v="83"/>
      <x v="3"/>
      <x v="1"/>
    </i>
    <i r="1">
      <x v="84"/>
      <x v="2"/>
      <x v="1"/>
    </i>
    <i r="1">
      <x v="85"/>
      <x v="3"/>
      <x v="1"/>
    </i>
    <i r="1">
      <x v="86"/>
      <x v="2"/>
      <x v="1"/>
    </i>
    <i r="1">
      <x v="87"/>
      <x v="3"/>
      <x v="1"/>
    </i>
    <i r="1">
      <x v="88"/>
      <x v="2"/>
      <x v="1"/>
    </i>
    <i r="1">
      <x v="89"/>
      <x v="3"/>
      <x v="1"/>
    </i>
    <i r="1">
      <x v="90"/>
      <x v="2"/>
      <x v="1"/>
    </i>
    <i r="1">
      <x v="91"/>
      <x v="3"/>
      <x v="1"/>
    </i>
    <i r="1">
      <x v="92"/>
      <x v="2"/>
      <x v="1"/>
    </i>
    <i r="1">
      <x v="93"/>
      <x v="3"/>
      <x v="1"/>
    </i>
    <i r="1">
      <x v="94"/>
      <x v="2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name="CounterPivot" cacheId="159" applyNumberFormats="0" applyBorderFormats="0" applyFontFormats="0" applyPatternFormats="0" applyAlignmentFormats="0" applyWidthHeightFormats="1" dataCaption="Values" updatedVersion="6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name="ExternalData_1" backgroundRefresh="0" connectionId="2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name="ExternalData_1" backgroundRefresh="0" connectionId="3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name="ExternalData_1" backgroundRefresh="0" connectionId="4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name="ExternalData_1" backgroundRefresh="0" connectionId="5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name="ExternalData_1" backgroundRefresh="0" connectionId="6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name="ExternalData_1" backgroundRefresh="0" connectionId="1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id="8" name="ProjectInfoTable" displayName="ProjectInfoTable" ref="A1:G2" tableType="queryTable" totalsRowShown="0">
  <autoFilter ref="A1:G2"/>
  <tableColumns count="7">
    <tableColumn id="7" uniqueName="7" name="ProjectName" queryTableFieldId="1"/>
    <tableColumn id="8" uniqueName="8" name="ModelFile" queryTableFieldId="2"/>
    <tableColumn id="9" uniqueName="9" name="ModelRunDate" queryTableFieldId="3"/>
    <tableColumn id="10" uniqueName="10" name="TimeUnits" queryTableFieldId="4"/>
    <tableColumn id="11" uniqueName="11" name="NumberOfReplications" queryTableFieldId="5"/>
    <tableColumn id="1" uniqueName="1" name="AvgStatCollectionLength" queryTableFieldId="12"/>
    <tableColumn id="14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0" name="DiscreteStatsTable" displayName="DiscreteStatsTable" ref="A1:Y10" tableType="queryTable" totalsRowShown="0">
  <autoFilter ref="A1:Y10"/>
  <sortState ref="A2:Y10">
    <sortCondition ref="D1:D61"/>
  </sortState>
  <tableColumns count="25">
    <tableColumn id="12" uniqueName="12" name="ProjectName" queryTableFieldId="1"/>
    <tableColumn id="13" uniqueName="13" name="Project RunDateTime" queryTableFieldId="2"/>
    <tableColumn id="14" uniqueName="14" name="Replication" queryTableFieldId="3"/>
    <tableColumn id="15" uniqueName="15" name="Name" queryTableFieldId="4"/>
    <tableColumn id="16" uniqueName="16" name="Type" queryTableFieldId="5"/>
    <tableColumn id="17" uniqueName="17" name="Source" queryTableFieldId="6"/>
    <tableColumn id="18" uniqueName="18" name="Average" queryTableFieldId="7"/>
    <tableColumn id="19" uniqueName="19" name="BatchMeansHalfWidth" queryTableFieldId="8"/>
    <tableColumn id="20" uniqueName="20" name="Minimum" queryTableFieldId="9"/>
    <tableColumn id="21" uniqueName="21" name="Maximum" queryTableFieldId="10"/>
    <tableColumn id="22" uniqueName="22" name="NumberObservations" queryTableFieldId="11"/>
    <tableColumn id="23" uniqueName="23" name="GroupByKey" queryTableFieldId="12" dataDxfId="66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uniqueName="24" name="RepsRequested" queryTableFieldId="13" dataDxfId="65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uniqueName="25" name="AverageOfAverage" queryTableFieldId="14" dataDxfId="64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uniqueName="26" name="StDevOfAverage" queryTableFieldId="15" dataDxfId="63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uniqueName="27" name="ConfidenceInterval" queryTableFieldId="16" dataDxfId="62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uniqueName="28" name="HalfWidth" queryTableFieldId="17" dataDxfId="61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uniqueName="29" name="MinimumAverage" queryTableFieldId="18" dataDxfId="60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uniqueName="30" name="MaximumAverage" queryTableFieldId="19" dataDxfId="59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uniqueName="31" name="OverallMinimum" queryTableFieldId="20" dataDxfId="58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uniqueName="32" name="OverallMaximum" queryTableFieldId="21" dataDxfId="57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uniqueName="33" name="AverageNumberObservations" queryTableFieldId="22" dataDxfId="56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uniqueName="1" name="SummaryHalfWidth" queryTableFieldId="23" dataDxfId="55">
      <calculatedColumnFormula>IF((DiscreteStatsTable[[#This Row],[RepsRequested]]&gt;1),DiscreteStatsTable[[#This Row],[HalfWidth]],DiscreteStatsTable[[#This Row],[BatchMeansHalfWidth]])</calculatedColumnFormula>
    </tableColumn>
    <tableColumn id="2" uniqueName="2" name="RepsWithStatObserved" queryTableFieldId="24" dataDxfId="54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uniqueName="3" name="Observed=Requested" queryTableFieldId="25" dataDxfId="53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1" name="ContinuousStatsTable" displayName="ContinuousStatsTable" ref="A1:U37" tableType="queryTable" totalsRowShown="0">
  <autoFilter ref="A1:U37"/>
  <tableColumns count="21">
    <tableColumn id="13" uniqueName="13" name="ProjectName" queryTableFieldId="1"/>
    <tableColumn id="14" uniqueName="14" name="Project RunDateTime" queryTableFieldId="2"/>
    <tableColumn id="15" uniqueName="15" name="Replication" queryTableFieldId="3"/>
    <tableColumn id="16" uniqueName="16" name="Name" queryTableFieldId="4"/>
    <tableColumn id="17" uniqueName="17" name="Type" queryTableFieldId="5"/>
    <tableColumn id="18" uniqueName="18" name="Source" queryTableFieldId="6"/>
    <tableColumn id="19" uniqueName="19" name="Average" queryTableFieldId="7"/>
    <tableColumn id="20" uniqueName="20" name="BatchMeansHalfWidth" queryTableFieldId="8"/>
    <tableColumn id="21" uniqueName="21" name="Minimum" queryTableFieldId="9"/>
    <tableColumn id="23" uniqueName="23" name="Maximum" queryTableFieldId="11"/>
    <tableColumn id="24" uniqueName="24" name="LastRecordedValue" queryTableFieldId="12"/>
    <tableColumn id="2" uniqueName="2" name="IsPeriodic" queryTableFieldId="22"/>
    <tableColumn id="25" uniqueName="25" name="GroupByKey" queryTableFieldId="13" dataDxfId="8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uniqueName="26" name="RepsRequested" queryTableFieldId="14" dataDxfId="7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uniqueName="27" name="AverageOfAverage" queryTableFieldId="15" dataDxfId="6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uniqueName="28" name="StDevOfAverage" queryTableFieldId="16" dataDxfId="5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uniqueName="29" name="ConfidenceInterval" queryTableFieldId="17" dataDxfId="4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uniqueName="30" name="HalfWidth" queryTableFieldId="18" dataDxfId="3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uniqueName="31" name="MinimumAverage" queryTableFieldId="19" dataDxfId="2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uniqueName="32" name="MaximumAverage" queryTableFieldId="20" dataDxfId="1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uniqueName="1" name="SummaryHalfWidth" queryTableFieldId="21" dataDxfId="0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2" name="CountersTable" displayName="CountersTable" ref="A1:O2" tableType="queryTable" insertRow="1" totalsRowShown="0">
  <autoFilter ref="A1:O2"/>
  <tableColumns count="15">
    <tableColumn id="8" uniqueName="8" name="ProjectName" queryTableFieldId="1"/>
    <tableColumn id="9" uniqueName="9" name="Project RunDateTime" queryTableFieldId="2"/>
    <tableColumn id="10" uniqueName="10" name="Replication" queryTableFieldId="3"/>
    <tableColumn id="11" uniqueName="11" name="Name" queryTableFieldId="4"/>
    <tableColumn id="12" uniqueName="12" name="Type" queryTableFieldId="5"/>
    <tableColumn id="13" uniqueName="13" name="Source" queryTableFieldId="6"/>
    <tableColumn id="14" uniqueName="14" name="RecordedValue" queryTableFieldId="7"/>
    <tableColumn id="15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3" name="OutputTable" displayName="OutputTable" ref="A1:P20" tableType="queryTable" totalsRowShown="0">
  <autoFilter ref="A1:P20"/>
  <tableColumns count="16">
    <tableColumn id="8" uniqueName="8" name="ProjectName" queryTableFieldId="1"/>
    <tableColumn id="9" uniqueName="9" name="Project RunDateTime" queryTableFieldId="2"/>
    <tableColumn id="10" uniqueName="10" name="Replication" queryTableFieldId="3"/>
    <tableColumn id="11" uniqueName="11" name="Name" queryTableFieldId="4"/>
    <tableColumn id="12" uniqueName="12" name="Type" queryTableFieldId="5"/>
    <tableColumn id="13" uniqueName="13" name="Source" queryTableFieldId="6"/>
    <tableColumn id="14" uniqueName="14" name="RecordedValue" queryTableFieldId="7"/>
    <tableColumn id="1" uniqueName="1" name="IsPeriodic" queryTableFieldId="16"/>
    <tableColumn id="15" uniqueName="15" name="GroupByKey" queryTableFieldId="8" dataDxfId="52">
      <calculatedColumnFormula>OutputTable[[#This Row],[ProjectName]]&amp;OutputTable[[#This Row],[Name]]&amp;OutputTable[[#This Row],[Type]]&amp;OutputTable[[#This Row],[Source]]</calculatedColumnFormula>
    </tableColumn>
    <tableColumn id="16" uniqueName="16" name="RepsRequested" queryTableFieldId="9" dataDxfId="51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uniqueName="17" name="Average" queryTableFieldId="10" dataDxfId="50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uniqueName="18" name="StandardDeviation" queryTableFieldId="11" dataDxfId="49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uniqueName="19" name="ConfidenceInterval" queryTableFieldId="12" dataDxfId="48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uniqueName="20" name="HalfWidth" queryTableFieldId="13" dataDxfId="47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uniqueName="21" name="Minimum" queryTableFieldId="14" dataDxfId="46">
      <calculatedColumnFormula array="1">MIN(IF((OutputTable[GroupByKey]=OutputTable[[#This Row],[GroupByKey]]),(OutputTable[GroupByKey]=OutputTable[[#This Row],[GroupByKey]])*OutputTable[RecordedValue]))</calculatedColumnFormula>
    </tableColumn>
    <tableColumn id="22" uniqueName="22" name="Maximum" queryTableFieldId="15" dataDxfId="45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" name="FrequencyTable" displayName="FrequencyTable" ref="A1:Q2" tableType="queryTable" insertRow="1" totalsRowShown="0">
  <autoFilter ref="A1:Q2"/>
  <tableColumns count="17">
    <tableColumn id="11" uniqueName="11" name="ProjectName" queryTableFieldId="1"/>
    <tableColumn id="12" uniqueName="12" name="Project RunDateTime" queryTableFieldId="2"/>
    <tableColumn id="13" uniqueName="13" name="Replication" queryTableFieldId="3"/>
    <tableColumn id="14" uniqueName="14" name="Name" queryTableFieldId="4"/>
    <tableColumn id="15" uniqueName="15" name="Category" queryTableFieldId="5"/>
    <tableColumn id="16" uniqueName="16" name="Source" queryTableFieldId="6"/>
    <tableColumn id="17" uniqueName="17" name="StandardPercentage" queryTableFieldId="7"/>
    <tableColumn id="18" uniqueName="18" name="RestrictedPercentage" queryTableFieldId="8"/>
    <tableColumn id="19" uniqueName="19" name="AverageTimeInCategory" queryTableFieldId="9"/>
    <tableColumn id="20" uniqueName="20" name="FrequencyCategoryCount" queryTableFieldId="10"/>
    <tableColumn id="1" uniqueName="1" name="IncludeOption" queryTableFieldId="18"/>
    <tableColumn id="21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uniqueName="23" name="SummaryStandardPercentage" queryTableFieldId="13">
      <calculatedColumnFormula>FrequencyTable[[#This Row],[StandardPercentage]]/100</calculatedColumnFormula>
    </tableColumn>
    <tableColumn id="24" uniqueName="24" name="SummaryRestrictedPercentage" queryTableFieldId="14">
      <calculatedColumnFormula>IF(FrequencyTable[[#This Row],[IncludeOption]]=1,(FrequencyTable[[#This Row],[RestrictedPercentage]]/100),400000000000000000000)</calculatedColumnFormula>
    </tableColumn>
    <tableColumn id="25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uniqueName="27" name="AverageRestrictedPercentage" queryTableFieldId="17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2"/>
  <sheetViews>
    <sheetView workbookViewId="0">
      <selection activeCell="D2" sqref="D2"/>
    </sheetView>
  </sheetViews>
  <sheetFormatPr defaultRowHeight="14.5" x14ac:dyDescent="0.35"/>
  <cols>
    <col min="1" max="1" width="15.26953125" bestFit="1" customWidth="1"/>
    <col min="2" max="2" width="65.6328125" bestFit="1" customWidth="1"/>
    <col min="3" max="3" width="17.81640625" bestFit="1" customWidth="1"/>
    <col min="4" max="4" width="11.54296875" bestFit="1" customWidth="1"/>
    <col min="5" max="5" width="22.1796875" bestFit="1" customWidth="1"/>
    <col min="6" max="6" width="23.6328125" bestFit="1" customWidth="1"/>
    <col min="7" max="7" width="19" bestFit="1" customWidth="1"/>
    <col min="8" max="10" width="19.453125" bestFit="1" customWidth="1"/>
    <col min="11" max="11" width="19.453125" customWidth="1"/>
  </cols>
  <sheetData>
    <row r="1" spans="1:7" x14ac:dyDescent="0.3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5">
      <c r="A2" t="s">
        <v>66</v>
      </c>
      <c r="B2" t="s">
        <v>68</v>
      </c>
      <c r="C2" t="s">
        <v>129</v>
      </c>
      <c r="D2">
        <v>3</v>
      </c>
      <c r="E2">
        <v>1</v>
      </c>
      <c r="F2">
        <v>6</v>
      </c>
      <c r="G2">
        <f>0.95</f>
        <v>0.95</v>
      </c>
    </row>
  </sheetData>
  <phoneticPr fontId="2" type="noConversion"/>
  <conditionalFormatting sqref="D2">
    <cfRule type="expression" dxfId="44" priority="1">
      <formula>D2=3</formula>
    </cfRule>
    <cfRule type="expression" dxfId="43" priority="2">
      <formula>D2=2</formula>
    </cfRule>
    <cfRule type="expression" dxfId="42" priority="3">
      <formula>D2=1</formula>
    </cfRule>
    <cfRule type="expression" dxfId="41" priority="4">
      <formula>D2=4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Z38"/>
  <sheetViews>
    <sheetView tabSelected="1" workbookViewId="0"/>
  </sheetViews>
  <sheetFormatPr defaultRowHeight="14.5" x14ac:dyDescent="0.35"/>
  <cols>
    <col min="1" max="1" width="33.36328125" customWidth="1"/>
    <col min="2" max="2" width="28.6328125" bestFit="1" customWidth="1"/>
    <col min="3" max="3" width="12.54296875" bestFit="1" customWidth="1"/>
    <col min="4" max="4" width="12.54296875" customWidth="1"/>
    <col min="5" max="5" width="28.08984375" customWidth="1"/>
    <col min="6" max="6" width="19.36328125" customWidth="1"/>
    <col min="7" max="7" width="10.08984375" bestFit="1" customWidth="1"/>
    <col min="8" max="9" width="26.1796875" customWidth="1"/>
    <col min="10" max="10" width="26.54296875" customWidth="1"/>
    <col min="11" max="11" width="15.7265625" customWidth="1"/>
    <col min="12" max="12" width="16.08984375" customWidth="1"/>
    <col min="13" max="13" width="28.7265625" customWidth="1"/>
    <col min="14" max="14" width="27.6328125" bestFit="1" customWidth="1"/>
    <col min="15" max="15" width="18.6328125" bestFit="1" customWidth="1"/>
    <col min="16" max="16" width="12" bestFit="1" customWidth="1"/>
    <col min="17" max="17" width="12.54296875" bestFit="1" customWidth="1"/>
    <col min="18" max="18" width="8.7265625" customWidth="1"/>
    <col min="19" max="19" width="28.08984375" customWidth="1"/>
    <col min="20" max="20" width="10.08984375" bestFit="1" customWidth="1"/>
    <col min="21" max="21" width="26.1796875" customWidth="1"/>
    <col min="22" max="22" width="21.26953125" customWidth="1"/>
    <col min="23" max="23" width="21.6328125" customWidth="1"/>
    <col min="24" max="24" width="15.7265625" customWidth="1"/>
    <col min="25" max="25" width="16.08984375" customWidth="1"/>
    <col min="26" max="26" width="16.36328125" bestFit="1" customWidth="1"/>
    <col min="27" max="27" width="20.6328125" bestFit="1" customWidth="1"/>
    <col min="28" max="28" width="24.6328125" bestFit="1" customWidth="1"/>
    <col min="29" max="29" width="12" bestFit="1" customWidth="1"/>
    <col min="30" max="30" width="8.7265625" customWidth="1"/>
    <col min="31" max="31" width="24.26953125" customWidth="1"/>
    <col min="32" max="32" width="10" customWidth="1"/>
    <col min="33" max="33" width="28.81640625" customWidth="1"/>
    <col min="34" max="34" width="19.1796875" customWidth="1"/>
    <col min="35" max="35" width="19.54296875" customWidth="1"/>
    <col min="36" max="36" width="19.90625" bestFit="1" customWidth="1"/>
    <col min="37" max="37" width="32.36328125" bestFit="1" customWidth="1"/>
    <col min="38" max="38" width="24.6328125" bestFit="1" customWidth="1"/>
    <col min="39" max="39" width="12" bestFit="1" customWidth="1"/>
    <col min="40" max="40" width="8.7265625" customWidth="1"/>
    <col min="41" max="41" width="24.26953125" customWidth="1"/>
    <col min="42" max="42" width="10" customWidth="1"/>
    <col min="43" max="43" width="28.81640625" customWidth="1"/>
    <col min="44" max="44" width="19.1796875" customWidth="1"/>
    <col min="45" max="45" width="19.54296875" customWidth="1"/>
    <col min="46" max="46" width="19.90625" bestFit="1" customWidth="1"/>
    <col min="47" max="47" width="14.90625" bestFit="1" customWidth="1"/>
    <col min="48" max="48" width="20.6328125" bestFit="1" customWidth="1"/>
    <col min="49" max="49" width="26.36328125" bestFit="1" customWidth="1"/>
    <col min="50" max="50" width="8.7265625" customWidth="1"/>
    <col min="51" max="51" width="25.81640625" customWidth="1"/>
    <col min="52" max="52" width="26.6328125" customWidth="1"/>
    <col min="53" max="53" width="27" bestFit="1" customWidth="1"/>
    <col min="54" max="54" width="24.90625" bestFit="1" customWidth="1"/>
    <col min="55" max="55" width="29.36328125" bestFit="1" customWidth="1"/>
    <col min="56" max="56" width="31.90625" bestFit="1" customWidth="1"/>
    <col min="57" max="57" width="21.6328125" bestFit="1" customWidth="1"/>
  </cols>
  <sheetData>
    <row r="1" spans="1:52" ht="18.5" x14ac:dyDescent="0.4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5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5">
      <c r="A3" t="s">
        <v>66</v>
      </c>
      <c r="B3" t="s">
        <v>72</v>
      </c>
      <c r="C3" t="s">
        <v>73</v>
      </c>
      <c r="D3" t="s">
        <v>74</v>
      </c>
      <c r="E3" s="5">
        <v>0</v>
      </c>
      <c r="F3" s="5">
        <v>1</v>
      </c>
      <c r="G3" s="5">
        <v>2E+20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22</v>
      </c>
      <c r="O3" t="s">
        <v>66</v>
      </c>
      <c r="P3" t="s">
        <v>72</v>
      </c>
      <c r="Q3" t="s">
        <v>87</v>
      </c>
      <c r="R3" t="s">
        <v>74</v>
      </c>
      <c r="S3" s="5">
        <v>1.50530706810221</v>
      </c>
      <c r="T3" s="5">
        <v>2E+20</v>
      </c>
      <c r="U3" s="5">
        <v>0</v>
      </c>
      <c r="V3" s="5">
        <v>1.50530706810221</v>
      </c>
      <c r="W3" s="5">
        <v>1.50530706810221</v>
      </c>
      <c r="X3" s="5">
        <v>0</v>
      </c>
      <c r="Y3" s="5">
        <v>3</v>
      </c>
      <c r="AA3" t="s">
        <v>128</v>
      </c>
      <c r="AB3" t="s">
        <v>128</v>
      </c>
      <c r="AC3" t="s">
        <v>128</v>
      </c>
      <c r="AD3" t="s">
        <v>128</v>
      </c>
      <c r="AE3" s="5"/>
      <c r="AF3" s="5"/>
      <c r="AG3" s="5"/>
      <c r="AH3" s="5"/>
      <c r="AI3" s="5"/>
      <c r="AK3" t="s">
        <v>66</v>
      </c>
      <c r="AL3" t="s">
        <v>124</v>
      </c>
      <c r="AM3" t="s">
        <v>111</v>
      </c>
      <c r="AN3" t="s">
        <v>125</v>
      </c>
      <c r="AO3" s="5">
        <v>22</v>
      </c>
      <c r="AP3" s="5">
        <v>4E+20</v>
      </c>
      <c r="AQ3" s="5">
        <v>0</v>
      </c>
      <c r="AR3" s="5">
        <v>22</v>
      </c>
      <c r="AS3" s="5">
        <v>22</v>
      </c>
      <c r="AU3" t="s">
        <v>128</v>
      </c>
      <c r="AV3" t="s">
        <v>128</v>
      </c>
      <c r="AW3" t="s">
        <v>128</v>
      </c>
      <c r="AX3" t="s">
        <v>128</v>
      </c>
      <c r="AY3" s="4"/>
      <c r="AZ3" s="4"/>
    </row>
    <row r="4" spans="1:52" x14ac:dyDescent="0.35">
      <c r="C4" t="s">
        <v>75</v>
      </c>
      <c r="D4" t="s">
        <v>74</v>
      </c>
      <c r="E4" s="5">
        <v>0</v>
      </c>
      <c r="F4" s="5">
        <v>1</v>
      </c>
      <c r="G4" s="5">
        <v>2E+20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22</v>
      </c>
      <c r="P4" t="s">
        <v>81</v>
      </c>
      <c r="Q4" t="s">
        <v>82</v>
      </c>
      <c r="R4" t="s">
        <v>83</v>
      </c>
      <c r="S4" s="5">
        <v>0</v>
      </c>
      <c r="T4" s="5">
        <v>2E+20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AL4" t="s">
        <v>108</v>
      </c>
      <c r="AM4" t="s">
        <v>109</v>
      </c>
      <c r="AN4" t="s">
        <v>74</v>
      </c>
      <c r="AO4" s="5">
        <v>24</v>
      </c>
      <c r="AP4" s="5">
        <v>4E+20</v>
      </c>
      <c r="AQ4" s="5">
        <v>0</v>
      </c>
      <c r="AR4" s="5">
        <v>24</v>
      </c>
      <c r="AS4" s="5">
        <v>24</v>
      </c>
    </row>
    <row r="5" spans="1:52" x14ac:dyDescent="0.35">
      <c r="C5" t="s">
        <v>76</v>
      </c>
      <c r="D5" t="s">
        <v>74</v>
      </c>
      <c r="E5" s="5">
        <v>0</v>
      </c>
      <c r="F5" s="5">
        <v>1</v>
      </c>
      <c r="G5" s="5">
        <v>2E+20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22</v>
      </c>
      <c r="Q5" t="s">
        <v>84</v>
      </c>
      <c r="R5" t="s">
        <v>83</v>
      </c>
      <c r="S5" s="5">
        <v>0</v>
      </c>
      <c r="T5" s="5">
        <v>2E+20</v>
      </c>
      <c r="U5" s="5">
        <v>0</v>
      </c>
      <c r="V5" s="5">
        <v>0</v>
      </c>
      <c r="W5" s="5">
        <v>0</v>
      </c>
      <c r="X5" s="5">
        <v>0</v>
      </c>
      <c r="Y5" s="5">
        <v>0</v>
      </c>
      <c r="AL5" t="s">
        <v>110</v>
      </c>
      <c r="AM5" t="s">
        <v>111</v>
      </c>
      <c r="AN5" t="s">
        <v>74</v>
      </c>
      <c r="AO5" s="5">
        <v>22</v>
      </c>
      <c r="AP5" s="5">
        <v>4E+20</v>
      </c>
      <c r="AQ5" s="5">
        <v>0</v>
      </c>
      <c r="AR5" s="5">
        <v>22</v>
      </c>
      <c r="AS5" s="5">
        <v>22</v>
      </c>
    </row>
    <row r="6" spans="1:52" x14ac:dyDescent="0.35">
      <c r="C6" t="s">
        <v>77</v>
      </c>
      <c r="D6" t="s">
        <v>74</v>
      </c>
      <c r="E6" s="5">
        <v>0</v>
      </c>
      <c r="F6" s="5">
        <v>1</v>
      </c>
      <c r="G6" s="5">
        <v>2E+20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22</v>
      </c>
      <c r="Q6" t="s">
        <v>85</v>
      </c>
      <c r="R6" t="s">
        <v>83</v>
      </c>
      <c r="S6" s="5">
        <v>10</v>
      </c>
      <c r="T6" s="5">
        <v>2E+20</v>
      </c>
      <c r="U6" s="5">
        <v>0</v>
      </c>
      <c r="V6" s="5">
        <v>10</v>
      </c>
      <c r="W6" s="5">
        <v>10</v>
      </c>
      <c r="X6" s="5">
        <v>10</v>
      </c>
      <c r="Y6" s="5">
        <v>10</v>
      </c>
      <c r="AL6" t="s">
        <v>104</v>
      </c>
      <c r="AM6" t="s">
        <v>105</v>
      </c>
      <c r="AN6" t="s">
        <v>83</v>
      </c>
      <c r="AO6" s="5">
        <v>0</v>
      </c>
      <c r="AP6" s="5">
        <v>4E+20</v>
      </c>
      <c r="AQ6" s="5">
        <v>0</v>
      </c>
      <c r="AR6" s="5">
        <v>0</v>
      </c>
      <c r="AS6" s="5">
        <v>0</v>
      </c>
    </row>
    <row r="7" spans="1:52" x14ac:dyDescent="0.35">
      <c r="C7" t="s">
        <v>78</v>
      </c>
      <c r="D7" t="s">
        <v>74</v>
      </c>
      <c r="E7" s="5">
        <v>0</v>
      </c>
      <c r="F7" s="5">
        <v>1</v>
      </c>
      <c r="G7" s="5">
        <v>2E+20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22</v>
      </c>
      <c r="P7" t="s">
        <v>69</v>
      </c>
      <c r="Q7" t="s">
        <v>86</v>
      </c>
      <c r="R7" t="s">
        <v>71</v>
      </c>
      <c r="S7" s="5">
        <v>0.26123885539073</v>
      </c>
      <c r="T7" s="5">
        <v>2E+20</v>
      </c>
      <c r="U7" s="5">
        <v>0</v>
      </c>
      <c r="V7" s="5">
        <v>0.26123885539073</v>
      </c>
      <c r="W7" s="5">
        <v>0.26123885539073</v>
      </c>
      <c r="X7" s="5">
        <v>0</v>
      </c>
      <c r="Y7" s="5">
        <v>1</v>
      </c>
      <c r="AL7" t="s">
        <v>106</v>
      </c>
      <c r="AM7" t="s">
        <v>107</v>
      </c>
      <c r="AN7" t="s">
        <v>83</v>
      </c>
      <c r="AO7" s="5">
        <v>0</v>
      </c>
      <c r="AP7" s="5">
        <v>4E+20</v>
      </c>
      <c r="AQ7" s="5">
        <v>0</v>
      </c>
      <c r="AR7" s="5">
        <v>0</v>
      </c>
      <c r="AS7" s="5">
        <v>0</v>
      </c>
    </row>
    <row r="8" spans="1:52" x14ac:dyDescent="0.35">
      <c r="C8" t="s">
        <v>79</v>
      </c>
      <c r="D8" t="s">
        <v>74</v>
      </c>
      <c r="E8" s="5">
        <v>0</v>
      </c>
      <c r="F8" s="5">
        <v>1</v>
      </c>
      <c r="G8" s="5">
        <v>2E+20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22</v>
      </c>
      <c r="P8" t="s">
        <v>88</v>
      </c>
      <c r="Q8" t="s">
        <v>86</v>
      </c>
      <c r="R8" t="s">
        <v>71</v>
      </c>
      <c r="S8" s="5">
        <v>0</v>
      </c>
      <c r="T8" s="5">
        <v>2E+20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AL8" t="s">
        <v>112</v>
      </c>
      <c r="AM8" t="s">
        <v>105</v>
      </c>
      <c r="AN8" t="s">
        <v>83</v>
      </c>
      <c r="AO8" s="5">
        <v>0</v>
      </c>
      <c r="AP8" s="5">
        <v>4E+20</v>
      </c>
      <c r="AQ8" s="5">
        <v>0</v>
      </c>
      <c r="AR8" s="5">
        <v>0</v>
      </c>
      <c r="AS8" s="5">
        <v>0</v>
      </c>
    </row>
    <row r="9" spans="1:52" x14ac:dyDescent="0.35">
      <c r="B9" t="s">
        <v>69</v>
      </c>
      <c r="C9" t="s">
        <v>70</v>
      </c>
      <c r="D9" t="s">
        <v>71</v>
      </c>
      <c r="E9" s="5">
        <v>0.78371656617219099</v>
      </c>
      <c r="F9" s="5">
        <v>1</v>
      </c>
      <c r="G9" s="5">
        <v>2E+20</v>
      </c>
      <c r="H9" s="5">
        <v>0</v>
      </c>
      <c r="I9" s="5">
        <v>0.78371656617219099</v>
      </c>
      <c r="J9" s="5">
        <v>0.78371656617219099</v>
      </c>
      <c r="K9" s="5">
        <v>0.606542293942402</v>
      </c>
      <c r="L9" s="5">
        <v>0.96089083840198097</v>
      </c>
      <c r="M9" s="5">
        <v>2</v>
      </c>
      <c r="P9" t="s">
        <v>89</v>
      </c>
      <c r="Q9" t="s">
        <v>82</v>
      </c>
      <c r="R9" t="s">
        <v>83</v>
      </c>
      <c r="S9" s="5">
        <v>0</v>
      </c>
      <c r="T9" s="5">
        <v>2E+20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L9" t="s">
        <v>113</v>
      </c>
      <c r="AM9" t="s">
        <v>107</v>
      </c>
      <c r="AN9" t="s">
        <v>83</v>
      </c>
      <c r="AO9" s="5">
        <v>0</v>
      </c>
      <c r="AP9" s="5">
        <v>4E+20</v>
      </c>
      <c r="AQ9" s="5">
        <v>0</v>
      </c>
      <c r="AR9" s="5">
        <v>0</v>
      </c>
      <c r="AS9" s="5">
        <v>0</v>
      </c>
    </row>
    <row r="10" spans="1:52" x14ac:dyDescent="0.35">
      <c r="B10" t="s">
        <v>80</v>
      </c>
      <c r="C10" t="s">
        <v>70</v>
      </c>
      <c r="D10" t="s">
        <v>71</v>
      </c>
      <c r="E10" s="5">
        <v>0</v>
      </c>
      <c r="F10" s="5">
        <v>1</v>
      </c>
      <c r="G10" s="5">
        <v>2E+20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2</v>
      </c>
      <c r="Q10" t="s">
        <v>84</v>
      </c>
      <c r="R10" t="s">
        <v>83</v>
      </c>
      <c r="S10" s="5">
        <v>0</v>
      </c>
      <c r="T10" s="5">
        <v>2E+20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L10" t="s">
        <v>114</v>
      </c>
      <c r="AM10" t="s">
        <v>105</v>
      </c>
      <c r="AN10" t="s">
        <v>83</v>
      </c>
      <c r="AO10" s="5">
        <v>0</v>
      </c>
      <c r="AP10" s="5">
        <v>4E+20</v>
      </c>
      <c r="AQ10" s="5">
        <v>0</v>
      </c>
      <c r="AR10" s="5">
        <v>0</v>
      </c>
      <c r="AS10" s="5">
        <v>0</v>
      </c>
    </row>
    <row r="11" spans="1:52" x14ac:dyDescent="0.35">
      <c r="B11" t="s">
        <v>130</v>
      </c>
      <c r="C11" t="s">
        <v>131</v>
      </c>
      <c r="D11" t="s">
        <v>132</v>
      </c>
      <c r="E11" s="5">
        <v>1.4840787956933601</v>
      </c>
      <c r="F11" s="5">
        <v>1</v>
      </c>
      <c r="G11" s="5">
        <v>2E+20</v>
      </c>
      <c r="H11" s="5">
        <v>0</v>
      </c>
      <c r="I11" s="5">
        <v>1.4840787956933601</v>
      </c>
      <c r="J11" s="5">
        <v>1.4840787956933601</v>
      </c>
      <c r="K11" s="5">
        <v>0.69230453514027801</v>
      </c>
      <c r="L11" s="5">
        <v>2.2758530562464498</v>
      </c>
      <c r="M11" s="5">
        <v>2</v>
      </c>
      <c r="Q11" t="s">
        <v>85</v>
      </c>
      <c r="R11" t="s">
        <v>83</v>
      </c>
      <c r="S11" s="5">
        <v>1</v>
      </c>
      <c r="T11" s="5">
        <v>2E+20</v>
      </c>
      <c r="U11" s="5">
        <v>0</v>
      </c>
      <c r="V11" s="5">
        <v>1</v>
      </c>
      <c r="W11" s="5">
        <v>1</v>
      </c>
      <c r="X11" s="5">
        <v>1</v>
      </c>
      <c r="Y11" s="5">
        <v>1</v>
      </c>
      <c r="AL11" t="s">
        <v>115</v>
      </c>
      <c r="AM11" t="s">
        <v>107</v>
      </c>
      <c r="AN11" t="s">
        <v>83</v>
      </c>
      <c r="AO11" s="5">
        <v>0</v>
      </c>
      <c r="AP11" s="5">
        <v>4E+20</v>
      </c>
      <c r="AQ11" s="5">
        <v>0</v>
      </c>
      <c r="AR11" s="5">
        <v>0</v>
      </c>
      <c r="AS11" s="5">
        <v>0</v>
      </c>
    </row>
    <row r="12" spans="1:52" x14ac:dyDescent="0.35">
      <c r="P12" t="s">
        <v>90</v>
      </c>
      <c r="Q12" t="s">
        <v>86</v>
      </c>
      <c r="R12" t="s">
        <v>71</v>
      </c>
      <c r="S12" s="5">
        <v>0</v>
      </c>
      <c r="T12" s="5">
        <v>2E+20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L12" t="s">
        <v>116</v>
      </c>
      <c r="AM12" t="s">
        <v>105</v>
      </c>
      <c r="AN12" t="s">
        <v>83</v>
      </c>
      <c r="AO12" s="5">
        <v>0</v>
      </c>
      <c r="AP12" s="5">
        <v>4E+20</v>
      </c>
      <c r="AQ12" s="5">
        <v>0</v>
      </c>
      <c r="AR12" s="5">
        <v>0</v>
      </c>
      <c r="AS12" s="5">
        <v>0</v>
      </c>
    </row>
    <row r="13" spans="1:52" x14ac:dyDescent="0.35">
      <c r="P13" t="s">
        <v>91</v>
      </c>
      <c r="Q13" t="s">
        <v>82</v>
      </c>
      <c r="R13" t="s">
        <v>83</v>
      </c>
      <c r="S13" s="5">
        <v>0</v>
      </c>
      <c r="T13" s="5">
        <v>2E+20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L13" t="s">
        <v>117</v>
      </c>
      <c r="AM13" t="s">
        <v>107</v>
      </c>
      <c r="AN13" t="s">
        <v>83</v>
      </c>
      <c r="AO13" s="5">
        <v>0</v>
      </c>
      <c r="AP13" s="5">
        <v>4E+20</v>
      </c>
      <c r="AQ13" s="5">
        <v>0</v>
      </c>
      <c r="AR13" s="5">
        <v>0</v>
      </c>
      <c r="AS13" s="5">
        <v>0</v>
      </c>
    </row>
    <row r="14" spans="1:52" x14ac:dyDescent="0.35">
      <c r="Q14" t="s">
        <v>84</v>
      </c>
      <c r="R14" t="s">
        <v>83</v>
      </c>
      <c r="S14" s="5">
        <v>0</v>
      </c>
      <c r="T14" s="5">
        <v>2E+20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L14" t="s">
        <v>118</v>
      </c>
      <c r="AM14" t="s">
        <v>105</v>
      </c>
      <c r="AN14" t="s">
        <v>83</v>
      </c>
      <c r="AO14" s="5">
        <v>0</v>
      </c>
      <c r="AP14" s="5">
        <v>4E+20</v>
      </c>
      <c r="AQ14" s="5">
        <v>0</v>
      </c>
      <c r="AR14" s="5">
        <v>0</v>
      </c>
      <c r="AS14" s="5">
        <v>0</v>
      </c>
    </row>
    <row r="15" spans="1:52" x14ac:dyDescent="0.35">
      <c r="Q15" t="s">
        <v>85</v>
      </c>
      <c r="R15" t="s">
        <v>83</v>
      </c>
      <c r="S15" s="5">
        <v>100</v>
      </c>
      <c r="T15" s="5">
        <v>2E+20</v>
      </c>
      <c r="U15" s="5">
        <v>0</v>
      </c>
      <c r="V15" s="5">
        <v>100</v>
      </c>
      <c r="W15" s="5">
        <v>100</v>
      </c>
      <c r="X15" s="5">
        <v>100</v>
      </c>
      <c r="Y15" s="5">
        <v>100</v>
      </c>
      <c r="AL15" t="s">
        <v>119</v>
      </c>
      <c r="AM15" t="s">
        <v>107</v>
      </c>
      <c r="AN15" t="s">
        <v>83</v>
      </c>
      <c r="AO15" s="5">
        <v>0</v>
      </c>
      <c r="AP15" s="5">
        <v>4E+20</v>
      </c>
      <c r="AQ15" s="5">
        <v>0</v>
      </c>
      <c r="AR15" s="5">
        <v>0</v>
      </c>
      <c r="AS15" s="5">
        <v>0</v>
      </c>
    </row>
    <row r="16" spans="1:52" x14ac:dyDescent="0.35">
      <c r="P16" t="s">
        <v>92</v>
      </c>
      <c r="Q16" t="s">
        <v>82</v>
      </c>
      <c r="R16" t="s">
        <v>83</v>
      </c>
      <c r="S16" s="5">
        <v>0</v>
      </c>
      <c r="T16" s="5">
        <v>2E+20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L16" t="s">
        <v>120</v>
      </c>
      <c r="AM16" t="s">
        <v>105</v>
      </c>
      <c r="AN16" t="s">
        <v>83</v>
      </c>
      <c r="AO16" s="5">
        <v>0</v>
      </c>
      <c r="AP16" s="5">
        <v>4E+20</v>
      </c>
      <c r="AQ16" s="5">
        <v>0</v>
      </c>
      <c r="AR16" s="5">
        <v>0</v>
      </c>
      <c r="AS16" s="5">
        <v>0</v>
      </c>
    </row>
    <row r="17" spans="16:45" x14ac:dyDescent="0.35">
      <c r="Q17" t="s">
        <v>84</v>
      </c>
      <c r="R17" t="s">
        <v>83</v>
      </c>
      <c r="S17" s="5">
        <v>0</v>
      </c>
      <c r="T17" s="5">
        <v>2E+20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L17" t="s">
        <v>121</v>
      </c>
      <c r="AM17" t="s">
        <v>107</v>
      </c>
      <c r="AN17" t="s">
        <v>83</v>
      </c>
      <c r="AO17" s="5">
        <v>0</v>
      </c>
      <c r="AP17" s="5">
        <v>4E+20</v>
      </c>
      <c r="AQ17" s="5">
        <v>0</v>
      </c>
      <c r="AR17" s="5">
        <v>0</v>
      </c>
      <c r="AS17" s="5">
        <v>0</v>
      </c>
    </row>
    <row r="18" spans="16:45" x14ac:dyDescent="0.35">
      <c r="Q18" t="s">
        <v>85</v>
      </c>
      <c r="R18" t="s">
        <v>83</v>
      </c>
      <c r="S18" s="5">
        <v>1</v>
      </c>
      <c r="T18" s="5">
        <v>2E+20</v>
      </c>
      <c r="U18" s="5">
        <v>0</v>
      </c>
      <c r="V18" s="5">
        <v>1</v>
      </c>
      <c r="W18" s="5">
        <v>1</v>
      </c>
      <c r="X18" s="5">
        <v>1</v>
      </c>
      <c r="Y18" s="5">
        <v>1</v>
      </c>
      <c r="AL18" t="s">
        <v>122</v>
      </c>
      <c r="AM18" t="s">
        <v>105</v>
      </c>
      <c r="AN18" t="s">
        <v>83</v>
      </c>
      <c r="AO18" s="5">
        <v>0</v>
      </c>
      <c r="AP18" s="5">
        <v>4E+20</v>
      </c>
      <c r="AQ18" s="5">
        <v>0</v>
      </c>
      <c r="AR18" s="5">
        <v>0</v>
      </c>
      <c r="AS18" s="5">
        <v>0</v>
      </c>
    </row>
    <row r="19" spans="16:45" x14ac:dyDescent="0.35">
      <c r="P19" t="s">
        <v>93</v>
      </c>
      <c r="Q19" t="s">
        <v>82</v>
      </c>
      <c r="R19" t="s">
        <v>83</v>
      </c>
      <c r="S19" s="5">
        <v>0</v>
      </c>
      <c r="T19" s="5">
        <v>2E+20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L19" t="s">
        <v>123</v>
      </c>
      <c r="AM19" t="s">
        <v>107</v>
      </c>
      <c r="AN19" t="s">
        <v>83</v>
      </c>
      <c r="AO19" s="5">
        <v>0</v>
      </c>
      <c r="AP19" s="5">
        <v>4E+20</v>
      </c>
      <c r="AQ19" s="5">
        <v>0</v>
      </c>
      <c r="AR19" s="5">
        <v>0</v>
      </c>
      <c r="AS19" s="5">
        <v>0</v>
      </c>
    </row>
    <row r="20" spans="16:45" x14ac:dyDescent="0.35">
      <c r="Q20" t="s">
        <v>84</v>
      </c>
      <c r="R20" t="s">
        <v>83</v>
      </c>
      <c r="S20" s="5">
        <v>0</v>
      </c>
      <c r="T20" s="5">
        <v>2E+20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L20" t="s">
        <v>126</v>
      </c>
      <c r="AM20" t="s">
        <v>105</v>
      </c>
      <c r="AN20" t="s">
        <v>83</v>
      </c>
      <c r="AO20" s="5">
        <v>0</v>
      </c>
      <c r="AP20" s="5">
        <v>4E+20</v>
      </c>
      <c r="AQ20" s="5">
        <v>0</v>
      </c>
      <c r="AR20" s="5">
        <v>0</v>
      </c>
      <c r="AS20" s="5">
        <v>0</v>
      </c>
    </row>
    <row r="21" spans="16:45" x14ac:dyDescent="0.35">
      <c r="Q21" t="s">
        <v>85</v>
      </c>
      <c r="R21" t="s">
        <v>83</v>
      </c>
      <c r="S21" s="5">
        <v>1</v>
      </c>
      <c r="T21" s="5">
        <v>2E+20</v>
      </c>
      <c r="U21" s="5">
        <v>0</v>
      </c>
      <c r="V21" s="5">
        <v>1</v>
      </c>
      <c r="W21" s="5">
        <v>1</v>
      </c>
      <c r="X21" s="5">
        <v>1</v>
      </c>
      <c r="Y21" s="5">
        <v>1</v>
      </c>
      <c r="AL21" t="s">
        <v>127</v>
      </c>
      <c r="AM21" t="s">
        <v>107</v>
      </c>
      <c r="AN21" t="s">
        <v>83</v>
      </c>
      <c r="AO21" s="5">
        <v>0</v>
      </c>
      <c r="AP21" s="5">
        <v>4E+20</v>
      </c>
      <c r="AQ21" s="5">
        <v>0</v>
      </c>
      <c r="AR21" s="5">
        <v>0</v>
      </c>
      <c r="AS21" s="5">
        <v>0</v>
      </c>
    </row>
    <row r="22" spans="16:45" x14ac:dyDescent="0.35">
      <c r="P22" t="s">
        <v>94</v>
      </c>
      <c r="Q22" t="s">
        <v>86</v>
      </c>
      <c r="R22" t="s">
        <v>71</v>
      </c>
      <c r="S22" s="5">
        <v>0</v>
      </c>
      <c r="T22" s="5">
        <v>2E+20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</row>
    <row r="23" spans="16:45" x14ac:dyDescent="0.35">
      <c r="P23" t="s">
        <v>95</v>
      </c>
      <c r="Q23" t="s">
        <v>82</v>
      </c>
      <c r="R23" t="s">
        <v>83</v>
      </c>
      <c r="S23" s="5">
        <v>0</v>
      </c>
      <c r="T23" s="5">
        <v>2E+20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</row>
    <row r="24" spans="16:45" x14ac:dyDescent="0.35">
      <c r="Q24" t="s">
        <v>84</v>
      </c>
      <c r="R24" t="s">
        <v>83</v>
      </c>
      <c r="S24" s="5">
        <v>0</v>
      </c>
      <c r="T24" s="5">
        <v>2E+20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</row>
    <row r="25" spans="16:45" x14ac:dyDescent="0.35">
      <c r="Q25" t="s">
        <v>85</v>
      </c>
      <c r="R25" t="s">
        <v>83</v>
      </c>
      <c r="S25" s="5">
        <v>1</v>
      </c>
      <c r="T25" s="5">
        <v>2E+20</v>
      </c>
      <c r="U25" s="5">
        <v>0</v>
      </c>
      <c r="V25" s="5">
        <v>1</v>
      </c>
      <c r="W25" s="5">
        <v>1</v>
      </c>
      <c r="X25" s="5">
        <v>1</v>
      </c>
      <c r="Y25" s="5">
        <v>1</v>
      </c>
    </row>
    <row r="26" spans="16:45" x14ac:dyDescent="0.35">
      <c r="P26" t="s">
        <v>96</v>
      </c>
      <c r="Q26" t="s">
        <v>86</v>
      </c>
      <c r="R26" t="s">
        <v>71</v>
      </c>
      <c r="S26" s="5">
        <v>1.2440682127114799</v>
      </c>
      <c r="T26" s="5">
        <v>2E+20</v>
      </c>
      <c r="U26" s="5">
        <v>0</v>
      </c>
      <c r="V26" s="5">
        <v>1.2440682127114799</v>
      </c>
      <c r="W26" s="5">
        <v>1.2440682127114799</v>
      </c>
      <c r="X26" s="5">
        <v>0</v>
      </c>
      <c r="Y26" s="5">
        <v>2</v>
      </c>
    </row>
    <row r="27" spans="16:45" x14ac:dyDescent="0.35">
      <c r="P27" t="s">
        <v>97</v>
      </c>
      <c r="Q27" t="s">
        <v>82</v>
      </c>
      <c r="R27" t="s">
        <v>83</v>
      </c>
      <c r="S27" s="5">
        <v>0</v>
      </c>
      <c r="T27" s="5">
        <v>2E+20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</row>
    <row r="28" spans="16:45" x14ac:dyDescent="0.35">
      <c r="Q28" t="s">
        <v>84</v>
      </c>
      <c r="R28" t="s">
        <v>83</v>
      </c>
      <c r="S28" s="5">
        <v>0</v>
      </c>
      <c r="T28" s="5">
        <v>2E+20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</row>
    <row r="29" spans="16:45" x14ac:dyDescent="0.35">
      <c r="Q29" t="s">
        <v>85</v>
      </c>
      <c r="R29" t="s">
        <v>83</v>
      </c>
      <c r="S29" s="5">
        <v>1</v>
      </c>
      <c r="T29" s="5">
        <v>2E+20</v>
      </c>
      <c r="U29" s="5">
        <v>0</v>
      </c>
      <c r="V29" s="5">
        <v>1</v>
      </c>
      <c r="W29" s="5">
        <v>1</v>
      </c>
      <c r="X29" s="5">
        <v>1</v>
      </c>
      <c r="Y29" s="5">
        <v>1</v>
      </c>
    </row>
    <row r="30" spans="16:45" x14ac:dyDescent="0.35">
      <c r="P30" t="s">
        <v>98</v>
      </c>
      <c r="Q30" t="s">
        <v>86</v>
      </c>
      <c r="R30" t="s">
        <v>71</v>
      </c>
      <c r="S30" s="5">
        <v>0</v>
      </c>
      <c r="T30" s="5">
        <v>2E+20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</row>
    <row r="31" spans="16:45" x14ac:dyDescent="0.35">
      <c r="P31" t="s">
        <v>99</v>
      </c>
      <c r="Q31" t="s">
        <v>86</v>
      </c>
      <c r="R31" t="s">
        <v>71</v>
      </c>
      <c r="S31" s="5">
        <v>0</v>
      </c>
      <c r="T31" s="5">
        <v>2E+20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</row>
    <row r="32" spans="16:45" x14ac:dyDescent="0.35">
      <c r="P32" t="s">
        <v>100</v>
      </c>
      <c r="Q32" t="s">
        <v>86</v>
      </c>
      <c r="R32" t="s">
        <v>71</v>
      </c>
      <c r="S32" s="5">
        <v>0</v>
      </c>
      <c r="T32" s="5">
        <v>2E+20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</row>
    <row r="33" spans="16:25" x14ac:dyDescent="0.35">
      <c r="P33" t="s">
        <v>101</v>
      </c>
      <c r="Q33" t="s">
        <v>86</v>
      </c>
      <c r="R33" t="s">
        <v>71</v>
      </c>
      <c r="S33" s="5">
        <v>0</v>
      </c>
      <c r="T33" s="5">
        <v>2E+20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</row>
    <row r="34" spans="16:25" x14ac:dyDescent="0.35">
      <c r="P34" t="s">
        <v>102</v>
      </c>
      <c r="Q34" t="s">
        <v>86</v>
      </c>
      <c r="R34" t="s">
        <v>71</v>
      </c>
      <c r="S34" s="5">
        <v>0</v>
      </c>
      <c r="T34" s="5">
        <v>2E+20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</row>
    <row r="35" spans="16:25" x14ac:dyDescent="0.35">
      <c r="P35" t="s">
        <v>103</v>
      </c>
      <c r="Q35" t="s">
        <v>82</v>
      </c>
      <c r="R35" t="s">
        <v>83</v>
      </c>
      <c r="S35" s="5">
        <v>0</v>
      </c>
      <c r="T35" s="5">
        <v>2E+20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</row>
    <row r="36" spans="16:25" x14ac:dyDescent="0.35">
      <c r="Q36" t="s">
        <v>84</v>
      </c>
      <c r="R36" t="s">
        <v>83</v>
      </c>
      <c r="S36" s="5">
        <v>0</v>
      </c>
      <c r="T36" s="5">
        <v>2E+20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</row>
    <row r="37" spans="16:25" x14ac:dyDescent="0.35">
      <c r="Q37" t="s">
        <v>85</v>
      </c>
      <c r="R37" t="s">
        <v>83</v>
      </c>
      <c r="S37" s="5">
        <v>2000</v>
      </c>
      <c r="T37" s="5">
        <v>2E+20</v>
      </c>
      <c r="U37" s="5">
        <v>0</v>
      </c>
      <c r="V37" s="5">
        <v>2000</v>
      </c>
      <c r="W37" s="5">
        <v>2000</v>
      </c>
      <c r="X37" s="5">
        <v>2000</v>
      </c>
      <c r="Y37" s="5">
        <v>2000</v>
      </c>
    </row>
    <row r="38" spans="16:25" x14ac:dyDescent="0.35">
      <c r="P38" t="s">
        <v>80</v>
      </c>
      <c r="Q38" t="s">
        <v>86</v>
      </c>
      <c r="R38" t="s">
        <v>71</v>
      </c>
      <c r="S38" s="5">
        <v>0</v>
      </c>
      <c r="T38" s="5">
        <v>2E+20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</row>
  </sheetData>
  <dataConsolidate/>
  <conditionalFormatting pivot="1" sqref="G3:G11">
    <cfRule type="expression" dxfId="40" priority="14">
      <formula>G3=200000000000000000000</formula>
    </cfRule>
  </conditionalFormatting>
  <conditionalFormatting pivot="1" sqref="T3:T38">
    <cfRule type="expression" dxfId="39" priority="13">
      <formula>T3=200000000000000000000</formula>
    </cfRule>
  </conditionalFormatting>
  <conditionalFormatting pivot="1" sqref="T3:T38">
    <cfRule type="expression" dxfId="38" priority="12">
      <formula>T3=300000000000000000000</formula>
    </cfRule>
  </conditionalFormatting>
  <conditionalFormatting pivot="1" sqref="G3:G11">
    <cfRule type="expression" dxfId="37" priority="11">
      <formula>G3=300000000000000000000</formula>
    </cfRule>
  </conditionalFormatting>
  <conditionalFormatting pivot="1" sqref="F3:F11">
    <cfRule type="expression" dxfId="36" priority="10">
      <formula>F3=0</formula>
    </cfRule>
  </conditionalFormatting>
  <conditionalFormatting pivot="1" sqref="F3:F11">
    <cfRule type="expression" dxfId="35" priority="9">
      <formula>F3=1</formula>
    </cfRule>
  </conditionalFormatting>
  <conditionalFormatting pivot="1" sqref="T3:T38">
    <cfRule type="expression" dxfId="34" priority="8">
      <formula>T3=400000000000000000000</formula>
    </cfRule>
  </conditionalFormatting>
  <conditionalFormatting pivot="1" sqref="AP3:AP21">
    <cfRule type="expression" dxfId="33" priority="7">
      <formula>AP3=400000000000000000000</formula>
    </cfRule>
  </conditionalFormatting>
  <conditionalFormatting pivot="1" sqref="AF3">
    <cfRule type="expression" dxfId="32" priority="6">
      <formula>AF3=400000000000000000000</formula>
    </cfRule>
  </conditionalFormatting>
  <conditionalFormatting pivot="1" sqref="G3:G11">
    <cfRule type="expression" dxfId="31" priority="5">
      <formula>G3=400000000000000000000</formula>
    </cfRule>
  </conditionalFormatting>
  <conditionalFormatting pivot="1" sqref="AZ3">
    <cfRule type="expression" dxfId="30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Y10"/>
  <sheetViews>
    <sheetView workbookViewId="0">
      <selection activeCell="A2" sqref="A2:K61"/>
    </sheetView>
  </sheetViews>
  <sheetFormatPr defaultRowHeight="14.5" x14ac:dyDescent="0.35"/>
  <cols>
    <col min="1" max="1" width="15.26953125" customWidth="1"/>
    <col min="2" max="2" width="21.08984375" customWidth="1"/>
    <col min="3" max="3" width="12.36328125" customWidth="1"/>
    <col min="4" max="4" width="31.81640625" bestFit="1" customWidth="1"/>
    <col min="5" max="5" width="12.36328125" bestFit="1" customWidth="1"/>
    <col min="6" max="6" width="12.54296875" bestFit="1" customWidth="1"/>
    <col min="7" max="7" width="11.81640625" bestFit="1" customWidth="1"/>
    <col min="8" max="8" width="22.1796875" customWidth="1"/>
    <col min="9" max="10" width="11.81640625" bestFit="1" customWidth="1"/>
    <col min="11" max="11" width="21.1796875" customWidth="1"/>
    <col min="12" max="12" width="63.36328125" bestFit="1" customWidth="1"/>
    <col min="13" max="13" width="16.08984375" customWidth="1"/>
    <col min="14" max="14" width="18.6328125" customWidth="1"/>
    <col min="15" max="15" width="16.7265625" customWidth="1"/>
    <col min="16" max="16" width="19" customWidth="1"/>
    <col min="17" max="17" width="11.6328125" bestFit="1" customWidth="1"/>
    <col min="18" max="18" width="18" customWidth="1"/>
    <col min="19" max="19" width="18.36328125" customWidth="1"/>
    <col min="20" max="20" width="17.1796875" customWidth="1"/>
    <col min="21" max="21" width="17.54296875" customWidth="1"/>
    <col min="22" max="22" width="28.08984375" customWidth="1"/>
    <col min="23" max="23" width="19.7265625" customWidth="1"/>
    <col min="24" max="24" width="22.7265625" bestFit="1" customWidth="1"/>
    <col min="25" max="25" width="21.1796875" customWidth="1"/>
  </cols>
  <sheetData>
    <row r="1" spans="1:25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5">
      <c r="A2" t="s">
        <v>66</v>
      </c>
      <c r="B2" t="s">
        <v>129</v>
      </c>
      <c r="C2">
        <v>1</v>
      </c>
      <c r="D2" t="s">
        <v>69</v>
      </c>
      <c r="E2" t="s">
        <v>70</v>
      </c>
      <c r="F2" t="s">
        <v>71</v>
      </c>
      <c r="G2">
        <v>0.78371656617219099</v>
      </c>
      <c r="H2">
        <v>2E+20</v>
      </c>
      <c r="I2">
        <v>0.606542293942402</v>
      </c>
      <c r="J2">
        <v>0.96089083840198097</v>
      </c>
      <c r="K2">
        <v>2</v>
      </c>
      <c r="L2" t="str">
        <f>DiscreteStatsTable[[#This Row],[ProjectName]]&amp;DiscreteStatsTable[[#This Row],[Name]]&amp;DiscreteStatsTable[[#This Row],[Type]]&amp;DiscreteStatsTable[[#This Row],[Source]]</f>
        <v>Unnamed ProjectEkmek_Bekleme_Noktasi.QueueWaiting TimeQueue</v>
      </c>
      <c r="M2">
        <f t="array" ref="M2">MAX(IF((ProjectInfoTable[ProjectName]=DiscreteStatsTable[[#This Row],[ProjectName]]),(ProjectInfoTable[ProjectName]=DiscreteStatsTable[[#This Row],[ProjectName]])*ProjectInfoTable[NumberOfReplications]))</f>
        <v>1</v>
      </c>
      <c r="N2">
        <f t="array" ref="N2">IFERROR(AVERAGE(IF((DiscreteStatsTable[GroupByKey]=DiscreteStatsTable[[#This Row],[GroupByKey]]),(DiscreteStatsTable[GroupByKey]=DiscreteStatsTable[[#This Row],[GroupByKey]])*DiscreteStatsTable[Average])),0)</f>
        <v>0.78371656617219099</v>
      </c>
      <c r="O2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">
        <f t="array" ref="R2">MIN(IF((DiscreteStatsTable[GroupByKey]=DiscreteStatsTable[[#This Row],[GroupByKey]]),(DiscreteStatsTable[GroupByKey]=DiscreteStatsTable[[#This Row],[GroupByKey]])*DiscreteStatsTable[Average]))</f>
        <v>0.78371656617219099</v>
      </c>
      <c r="S2">
        <f t="array" ref="S2">MAX(IF((DiscreteStatsTable[GroupByKey]=DiscreteStatsTable[[#This Row],[GroupByKey]]),(DiscreteStatsTable[GroupByKey]=DiscreteStatsTable[[#This Row],[GroupByKey]])*DiscreteStatsTable[Average]))</f>
        <v>0.78371656617219099</v>
      </c>
      <c r="T2">
        <f t="array" ref="T2">MIN(IF((DiscreteStatsTable[GroupByKey]=DiscreteStatsTable[[#This Row],[GroupByKey]]),(DiscreteStatsTable[GroupByKey]=DiscreteStatsTable[[#This Row],[GroupByKey]])*DiscreteStatsTable[Minimum]))</f>
        <v>0.606542293942402</v>
      </c>
      <c r="U2">
        <f t="array" ref="U2">MAX(IF((DiscreteStatsTable[GroupByKey]=DiscreteStatsTable[[#This Row],[GroupByKey]]),(DiscreteStatsTable[GroupByKey]=DiscreteStatsTable[[#This Row],[GroupByKey]])*DiscreteStatsTable[Maximum]))</f>
        <v>0.96089083840198097</v>
      </c>
      <c r="V2">
        <f t="array" ref="V2">IFERROR(AVERAGE(IF((DiscreteStatsTable[GroupByKey]=DiscreteStatsTable[[#This Row],[GroupByKey]]),(DiscreteStatsTable[GroupByKey]=DiscreteStatsTable[[#This Row],[GroupByKey]])*DiscreteStatsTable[NumberObservations])),0)</f>
        <v>2</v>
      </c>
      <c r="W2">
        <f>IF((DiscreteStatsTable[[#This Row],[RepsRequested]]&gt;1),DiscreteStatsTable[[#This Row],[HalfWidth]],DiscreteStatsTable[[#This Row],[BatchMeansHalfWidth]])</f>
        <v>2E+20</v>
      </c>
      <c r="X2">
        <f t="array" ref="X2">COUNT(IF((DiscreteStatsTable[GroupByKey]=DiscreteStatsTable[[#This Row],[GroupByKey]]),(DiscreteStatsTable[GroupByKey]=DiscreteStatsTable[[#This Row],[GroupByKey]])*DiscreteStatsTable[Replication]))</f>
        <v>1</v>
      </c>
      <c r="Y2">
        <f>IF(DiscreteStatsTable[[#This Row],[RepsRequested]]=DiscreteStatsTable[[#This Row],[RepsWithStatObserved]],1,0)</f>
        <v>1</v>
      </c>
    </row>
    <row r="3" spans="1:25" x14ac:dyDescent="0.35">
      <c r="A3" t="s">
        <v>66</v>
      </c>
      <c r="B3" t="s">
        <v>129</v>
      </c>
      <c r="C3">
        <v>1</v>
      </c>
      <c r="D3" t="s">
        <v>72</v>
      </c>
      <c r="E3" t="s">
        <v>73</v>
      </c>
      <c r="F3" t="s">
        <v>74</v>
      </c>
      <c r="G3">
        <v>0</v>
      </c>
      <c r="H3">
        <v>2E+20</v>
      </c>
      <c r="I3">
        <v>0</v>
      </c>
      <c r="J3">
        <v>0</v>
      </c>
      <c r="K3">
        <v>22</v>
      </c>
      <c r="L3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3">
        <f t="array" ref="M3">MAX(IF((ProjectInfoTable[ProjectName]=DiscreteStatsTable[[#This Row],[ProjectName]]),(ProjectInfoTable[ProjectName]=DiscreteStatsTable[[#This Row],[ProjectName]])*ProjectInfoTable[NumberOfReplications]))</f>
        <v>1</v>
      </c>
      <c r="N3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">
        <f t="array" ref="R3">MIN(IF((DiscreteStatsTable[GroupByKey]=DiscreteStatsTable[[#This Row],[GroupByKey]]),(DiscreteStatsTable[GroupByKey]=DiscreteStatsTable[[#This Row],[GroupByKey]])*DiscreteStatsTable[Average]))</f>
        <v>0</v>
      </c>
      <c r="S3">
        <f t="array" ref="S3">MAX(IF((DiscreteStatsTable[GroupByKey]=DiscreteStatsTable[[#This Row],[GroupByKey]]),(DiscreteStatsTable[GroupByKey]=DiscreteStatsTable[[#This Row],[GroupByKey]])*DiscreteStatsTable[Average]))</f>
        <v>0</v>
      </c>
      <c r="T3">
        <f t="array" ref="T3">MIN(IF((DiscreteStatsTable[GroupByKey]=DiscreteStatsTable[[#This Row],[GroupByKey]]),(DiscreteStatsTable[GroupByKey]=DiscreteStatsTable[[#This Row],[GroupByKey]])*DiscreteStatsTable[Minimum]))</f>
        <v>0</v>
      </c>
      <c r="U3">
        <f t="array" ref="U3">MAX(IF((DiscreteStatsTable[GroupByKey]=DiscreteStatsTable[[#This Row],[GroupByKey]]),(DiscreteStatsTable[GroupByKey]=DiscreteStatsTable[[#This Row],[GroupByKey]])*DiscreteStatsTable[Maximum]))</f>
        <v>0</v>
      </c>
      <c r="V3">
        <f t="array" ref="V3">IFERROR(AVERAGE(IF((DiscreteStatsTable[GroupByKey]=DiscreteStatsTable[[#This Row],[GroupByKey]]),(DiscreteStatsTable[GroupByKey]=DiscreteStatsTable[[#This Row],[GroupByKey]])*DiscreteStatsTable[NumberObservations])),0)</f>
        <v>22</v>
      </c>
      <c r="W3">
        <f>IF((DiscreteStatsTable[[#This Row],[RepsRequested]]&gt;1),DiscreteStatsTable[[#This Row],[HalfWidth]],DiscreteStatsTable[[#This Row],[BatchMeansHalfWidth]])</f>
        <v>2E+20</v>
      </c>
      <c r="X3">
        <f t="array" ref="X3">COUNT(IF((DiscreteStatsTable[GroupByKey]=DiscreteStatsTable[[#This Row],[GroupByKey]]),(DiscreteStatsTable[GroupByKey]=DiscreteStatsTable[[#This Row],[GroupByKey]])*DiscreteStatsTable[Replication]))</f>
        <v>1</v>
      </c>
      <c r="Y3">
        <f>IF(DiscreteStatsTable[[#This Row],[RepsRequested]]=DiscreteStatsTable[[#This Row],[RepsWithStatObserved]],1,0)</f>
        <v>1</v>
      </c>
    </row>
    <row r="4" spans="1:25" x14ac:dyDescent="0.35">
      <c r="A4" t="s">
        <v>66</v>
      </c>
      <c r="B4" t="s">
        <v>129</v>
      </c>
      <c r="C4">
        <v>1</v>
      </c>
      <c r="D4" t="s">
        <v>72</v>
      </c>
      <c r="E4" t="s">
        <v>75</v>
      </c>
      <c r="F4" t="s">
        <v>74</v>
      </c>
      <c r="G4">
        <v>0</v>
      </c>
      <c r="H4">
        <v>2E+20</v>
      </c>
      <c r="I4">
        <v>0</v>
      </c>
      <c r="J4">
        <v>0</v>
      </c>
      <c r="K4">
        <v>22</v>
      </c>
      <c r="L4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4">
        <f t="array" ref="M4">MAX(IF((ProjectInfoTable[ProjectName]=DiscreteStatsTable[[#This Row],[ProjectName]]),(ProjectInfoTable[ProjectName]=DiscreteStatsTable[[#This Row],[ProjectName]])*ProjectInfoTable[NumberOfReplications]))</f>
        <v>1</v>
      </c>
      <c r="N4">
        <f t="array" ref="N4">IFERROR(AVERAGE(IF((DiscreteStatsTable[GroupByKey]=DiscreteStatsTable[[#This Row],[GroupByKey]]),(DiscreteStatsTable[GroupByKey]=DiscreteStatsTable[[#This Row],[GroupByKey]])*DiscreteStatsTable[Average])),0)</f>
        <v>0</v>
      </c>
      <c r="O4">
        <f t="array" ref="O4">IFERROR(_xlfn.STDEV.S(IF((DiscreteStatsTable[GroupByKey]=DiscreteStatsTable[[#This Row],[GroupByKey]]),(DiscreteStatsTable[GroupByKey]=DiscreteStatsTable[[#This Row],[GroupByKey]])*DiscreteStatsTable[Average])),0)</f>
        <v>0</v>
      </c>
      <c r="P4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4">
        <f t="array" ref="R4">MIN(IF((DiscreteStatsTable[GroupByKey]=DiscreteStatsTable[[#This Row],[GroupByKey]]),(DiscreteStatsTable[GroupByKey]=DiscreteStatsTable[[#This Row],[GroupByKey]])*DiscreteStatsTable[Average]))</f>
        <v>0</v>
      </c>
      <c r="S4">
        <f t="array" ref="S4">MAX(IF((DiscreteStatsTable[GroupByKey]=DiscreteStatsTable[[#This Row],[GroupByKey]]),(DiscreteStatsTable[GroupByKey]=DiscreteStatsTable[[#This Row],[GroupByKey]])*DiscreteStatsTable[Average]))</f>
        <v>0</v>
      </c>
      <c r="T4">
        <f t="array" ref="T4">MIN(IF((DiscreteStatsTable[GroupByKey]=DiscreteStatsTable[[#This Row],[GroupByKey]]),(DiscreteStatsTable[GroupByKey]=DiscreteStatsTable[[#This Row],[GroupByKey]])*DiscreteStatsTable[Minimum]))</f>
        <v>0</v>
      </c>
      <c r="U4">
        <f t="array" ref="U4">MAX(IF((DiscreteStatsTable[GroupByKey]=DiscreteStatsTable[[#This Row],[GroupByKey]]),(DiscreteStatsTable[GroupByKey]=DiscreteStatsTable[[#This Row],[GroupByKey]])*DiscreteStatsTable[Maximum]))</f>
        <v>0</v>
      </c>
      <c r="V4">
        <f t="array" ref="V4">IFERROR(AVERAGE(IF((DiscreteStatsTable[GroupByKey]=DiscreteStatsTable[[#This Row],[GroupByKey]]),(DiscreteStatsTable[GroupByKey]=DiscreteStatsTable[[#This Row],[GroupByKey]])*DiscreteStatsTable[NumberObservations])),0)</f>
        <v>22</v>
      </c>
      <c r="W4">
        <f>IF((DiscreteStatsTable[[#This Row],[RepsRequested]]&gt;1),DiscreteStatsTable[[#This Row],[HalfWidth]],DiscreteStatsTable[[#This Row],[BatchMeansHalfWidth]])</f>
        <v>2E+20</v>
      </c>
      <c r="X4">
        <f t="array" ref="X4">COUNT(IF((DiscreteStatsTable[GroupByKey]=DiscreteStatsTable[[#This Row],[GroupByKey]]),(DiscreteStatsTable[GroupByKey]=DiscreteStatsTable[[#This Row],[GroupByKey]])*DiscreteStatsTable[Replication]))</f>
        <v>1</v>
      </c>
      <c r="Y4">
        <f>IF(DiscreteStatsTable[[#This Row],[RepsRequested]]=DiscreteStatsTable[[#This Row],[RepsWithStatObserved]],1,0)</f>
        <v>1</v>
      </c>
    </row>
    <row r="5" spans="1:25" x14ac:dyDescent="0.35">
      <c r="A5" t="s">
        <v>66</v>
      </c>
      <c r="B5" t="s">
        <v>129</v>
      </c>
      <c r="C5">
        <v>1</v>
      </c>
      <c r="D5" t="s">
        <v>72</v>
      </c>
      <c r="E5" t="s">
        <v>76</v>
      </c>
      <c r="F5" t="s">
        <v>74</v>
      </c>
      <c r="G5">
        <v>0</v>
      </c>
      <c r="H5">
        <v>2E+20</v>
      </c>
      <c r="I5">
        <v>0</v>
      </c>
      <c r="J5">
        <v>0</v>
      </c>
      <c r="K5">
        <v>22</v>
      </c>
      <c r="L5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5">
        <f t="array" ref="M5">MAX(IF((ProjectInfoTable[ProjectName]=DiscreteStatsTable[[#This Row],[ProjectName]]),(ProjectInfoTable[ProjectName]=DiscreteStatsTable[[#This Row],[ProjectName]])*ProjectInfoTable[NumberOfReplications]))</f>
        <v>1</v>
      </c>
      <c r="N5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5">
        <f t="array" ref="R5">MIN(IF((DiscreteStatsTable[GroupByKey]=DiscreteStatsTable[[#This Row],[GroupByKey]]),(DiscreteStatsTable[GroupByKey]=DiscreteStatsTable[[#This Row],[GroupByKey]])*DiscreteStatsTable[Average]))</f>
        <v>0</v>
      </c>
      <c r="S5">
        <f t="array" ref="S5">MAX(IF((DiscreteStatsTable[GroupByKey]=DiscreteStatsTable[[#This Row],[GroupByKey]]),(DiscreteStatsTable[GroupByKey]=DiscreteStatsTable[[#This Row],[GroupByKey]])*DiscreteStatsTable[Average]))</f>
        <v>0</v>
      </c>
      <c r="T5">
        <f t="array" ref="T5">MIN(IF((DiscreteStatsTable[GroupByKey]=DiscreteStatsTable[[#This Row],[GroupByKey]]),(DiscreteStatsTable[GroupByKey]=DiscreteStatsTable[[#This Row],[GroupByKey]])*DiscreteStatsTable[Minimum]))</f>
        <v>0</v>
      </c>
      <c r="U5">
        <f t="array" ref="U5">MAX(IF((DiscreteStatsTable[GroupByKey]=DiscreteStatsTable[[#This Row],[GroupByKey]]),(DiscreteStatsTable[GroupByKey]=DiscreteStatsTable[[#This Row],[GroupByKey]])*DiscreteStatsTable[Maximum]))</f>
        <v>0</v>
      </c>
      <c r="V5">
        <f t="array" ref="V5">IFERROR(AVERAGE(IF((DiscreteStatsTable[GroupByKey]=DiscreteStatsTable[[#This Row],[GroupByKey]]),(DiscreteStatsTable[GroupByKey]=DiscreteStatsTable[[#This Row],[GroupByKey]])*DiscreteStatsTable[NumberObservations])),0)</f>
        <v>22</v>
      </c>
      <c r="W5">
        <f>IF((DiscreteStatsTable[[#This Row],[RepsRequested]]&gt;1),DiscreteStatsTable[[#This Row],[HalfWidth]],DiscreteStatsTable[[#This Row],[BatchMeansHalfWidth]])</f>
        <v>2E+20</v>
      </c>
      <c r="X5">
        <f t="array" ref="X5">COUNT(IF((DiscreteStatsTable[GroupByKey]=DiscreteStatsTable[[#This Row],[GroupByKey]]),(DiscreteStatsTable[GroupByKey]=DiscreteStatsTable[[#This Row],[GroupByKey]])*DiscreteStatsTable[Replication]))</f>
        <v>1</v>
      </c>
      <c r="Y5">
        <f>IF(DiscreteStatsTable[[#This Row],[RepsRequested]]=DiscreteStatsTable[[#This Row],[RepsWithStatObserved]],1,0)</f>
        <v>1</v>
      </c>
    </row>
    <row r="6" spans="1:25" x14ac:dyDescent="0.35">
      <c r="A6" t="s">
        <v>66</v>
      </c>
      <c r="B6" t="s">
        <v>129</v>
      </c>
      <c r="C6">
        <v>1</v>
      </c>
      <c r="D6" t="s">
        <v>72</v>
      </c>
      <c r="E6" t="s">
        <v>77</v>
      </c>
      <c r="F6" t="s">
        <v>74</v>
      </c>
      <c r="G6">
        <v>0</v>
      </c>
      <c r="H6">
        <v>2E+20</v>
      </c>
      <c r="I6">
        <v>0</v>
      </c>
      <c r="J6">
        <v>0</v>
      </c>
      <c r="K6">
        <v>22</v>
      </c>
      <c r="L6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6">
        <f t="array" ref="M6">MAX(IF((ProjectInfoTable[ProjectName]=DiscreteStatsTable[[#This Row],[ProjectName]]),(ProjectInfoTable[ProjectName]=DiscreteStatsTable[[#This Row],[ProjectName]])*ProjectInfoTable[NumberOfReplications]))</f>
        <v>1</v>
      </c>
      <c r="N6">
        <f t="array" ref="N6">IFERROR(AVERAGE(IF((DiscreteStatsTable[GroupByKey]=DiscreteStatsTable[[#This Row],[GroupByKey]]),(DiscreteStatsTable[GroupByKey]=DiscreteStatsTable[[#This Row],[GroupByKey]])*DiscreteStatsTable[Average])),0)</f>
        <v>0</v>
      </c>
      <c r="O6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6">
        <f t="array" ref="R6">MIN(IF((DiscreteStatsTable[GroupByKey]=DiscreteStatsTable[[#This Row],[GroupByKey]]),(DiscreteStatsTable[GroupByKey]=DiscreteStatsTable[[#This Row],[GroupByKey]])*DiscreteStatsTable[Average]))</f>
        <v>0</v>
      </c>
      <c r="S6">
        <f t="array" ref="S6">MAX(IF((DiscreteStatsTable[GroupByKey]=DiscreteStatsTable[[#This Row],[GroupByKey]]),(DiscreteStatsTable[GroupByKey]=DiscreteStatsTable[[#This Row],[GroupByKey]])*DiscreteStatsTable[Average]))</f>
        <v>0</v>
      </c>
      <c r="T6">
        <f t="array" ref="T6">MIN(IF((DiscreteStatsTable[GroupByKey]=DiscreteStatsTable[[#This Row],[GroupByKey]]),(DiscreteStatsTable[GroupByKey]=DiscreteStatsTable[[#This Row],[GroupByKey]])*DiscreteStatsTable[Minimum]))</f>
        <v>0</v>
      </c>
      <c r="U6">
        <f t="array" ref="U6">MAX(IF((DiscreteStatsTable[GroupByKey]=DiscreteStatsTable[[#This Row],[GroupByKey]]),(DiscreteStatsTable[GroupByKey]=DiscreteStatsTable[[#This Row],[GroupByKey]])*DiscreteStatsTable[Maximum]))</f>
        <v>0</v>
      </c>
      <c r="V6">
        <f t="array" ref="V6">IFERROR(AVERAGE(IF((DiscreteStatsTable[GroupByKey]=DiscreteStatsTable[[#This Row],[GroupByKey]]),(DiscreteStatsTable[GroupByKey]=DiscreteStatsTable[[#This Row],[GroupByKey]])*DiscreteStatsTable[NumberObservations])),0)</f>
        <v>22</v>
      </c>
      <c r="W6">
        <f>IF((DiscreteStatsTable[[#This Row],[RepsRequested]]&gt;1),DiscreteStatsTable[[#This Row],[HalfWidth]],DiscreteStatsTable[[#This Row],[BatchMeansHalfWidth]])</f>
        <v>2E+20</v>
      </c>
      <c r="X6">
        <f t="array" ref="X6">COUNT(IF((DiscreteStatsTable[GroupByKey]=DiscreteStatsTable[[#This Row],[GroupByKey]]),(DiscreteStatsTable[GroupByKey]=DiscreteStatsTable[[#This Row],[GroupByKey]])*DiscreteStatsTable[Replication]))</f>
        <v>1</v>
      </c>
      <c r="Y6">
        <f>IF(DiscreteStatsTable[[#This Row],[RepsRequested]]=DiscreteStatsTable[[#This Row],[RepsWithStatObserved]],1,0)</f>
        <v>1</v>
      </c>
    </row>
    <row r="7" spans="1:25" x14ac:dyDescent="0.35">
      <c r="A7" t="s">
        <v>66</v>
      </c>
      <c r="B7" t="s">
        <v>129</v>
      </c>
      <c r="C7">
        <v>1</v>
      </c>
      <c r="D7" t="s">
        <v>72</v>
      </c>
      <c r="E7" t="s">
        <v>78</v>
      </c>
      <c r="F7" t="s">
        <v>74</v>
      </c>
      <c r="G7">
        <v>0</v>
      </c>
      <c r="H7">
        <v>2E+20</v>
      </c>
      <c r="I7">
        <v>0</v>
      </c>
      <c r="J7">
        <v>0</v>
      </c>
      <c r="K7">
        <v>22</v>
      </c>
      <c r="L7" t="str">
        <f>DiscreteStatsTable[[#This Row],[ProjectName]]&amp;DiscreteStatsTable[[#This Row],[Name]]&amp;DiscreteStatsTable[[#This Row],[Type]]&amp;DiscreteStatsTable[[#This Row],[Source]]</f>
        <v>Unnamed ProjectEntity 1VA TimeEntity</v>
      </c>
      <c r="M7">
        <f t="array" ref="M7">MAX(IF((ProjectInfoTable[ProjectName]=DiscreteStatsTable[[#This Row],[ProjectName]]),(ProjectInfoTable[ProjectName]=DiscreteStatsTable[[#This Row],[ProjectName]])*ProjectInfoTable[NumberOfReplications]))</f>
        <v>1</v>
      </c>
      <c r="N7">
        <f t="array" ref="N7">IFERROR(AVERAGE(IF((DiscreteStatsTable[GroupByKey]=DiscreteStatsTable[[#This Row],[GroupByKey]]),(DiscreteStatsTable[GroupByKey]=DiscreteStatsTable[[#This Row],[GroupByKey]])*DiscreteStatsTable[Average])),0)</f>
        <v>0</v>
      </c>
      <c r="O7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7">
        <f t="array" ref="R7">MIN(IF((DiscreteStatsTable[GroupByKey]=DiscreteStatsTable[[#This Row],[GroupByKey]]),(DiscreteStatsTable[GroupByKey]=DiscreteStatsTable[[#This Row],[GroupByKey]])*DiscreteStatsTable[Average]))</f>
        <v>0</v>
      </c>
      <c r="S7">
        <f t="array" ref="S7">MAX(IF((DiscreteStatsTable[GroupByKey]=DiscreteStatsTable[[#This Row],[GroupByKey]]),(DiscreteStatsTable[GroupByKey]=DiscreteStatsTable[[#This Row],[GroupByKey]])*DiscreteStatsTable[Average]))</f>
        <v>0</v>
      </c>
      <c r="T7">
        <f t="array" ref="T7">MIN(IF((DiscreteStatsTable[GroupByKey]=DiscreteStatsTable[[#This Row],[GroupByKey]]),(DiscreteStatsTable[GroupByKey]=DiscreteStatsTable[[#This Row],[GroupByKey]])*DiscreteStatsTable[Minimum]))</f>
        <v>0</v>
      </c>
      <c r="U7">
        <f t="array" ref="U7">MAX(IF((DiscreteStatsTable[GroupByKey]=DiscreteStatsTable[[#This Row],[GroupByKey]]),(DiscreteStatsTable[GroupByKey]=DiscreteStatsTable[[#This Row],[GroupByKey]])*DiscreteStatsTable[Maximum]))</f>
        <v>0</v>
      </c>
      <c r="V7">
        <f t="array" ref="V7">IFERROR(AVERAGE(IF((DiscreteStatsTable[GroupByKey]=DiscreteStatsTable[[#This Row],[GroupByKey]]),(DiscreteStatsTable[GroupByKey]=DiscreteStatsTable[[#This Row],[GroupByKey]])*DiscreteStatsTable[NumberObservations])),0)</f>
        <v>22</v>
      </c>
      <c r="W7">
        <f>IF((DiscreteStatsTable[[#This Row],[RepsRequested]]&gt;1),DiscreteStatsTable[[#This Row],[HalfWidth]],DiscreteStatsTable[[#This Row],[BatchMeansHalfWidth]])</f>
        <v>2E+20</v>
      </c>
      <c r="X7">
        <f t="array" ref="X7">COUNT(IF((DiscreteStatsTable[GroupByKey]=DiscreteStatsTable[[#This Row],[GroupByKey]]),(DiscreteStatsTable[GroupByKey]=DiscreteStatsTable[[#This Row],[GroupByKey]])*DiscreteStatsTable[Replication]))</f>
        <v>1</v>
      </c>
      <c r="Y7">
        <f>IF(DiscreteStatsTable[[#This Row],[RepsRequested]]=DiscreteStatsTable[[#This Row],[RepsWithStatObserved]],1,0)</f>
        <v>1</v>
      </c>
    </row>
    <row r="8" spans="1:25" x14ac:dyDescent="0.35">
      <c r="A8" t="s">
        <v>66</v>
      </c>
      <c r="B8" t="s">
        <v>129</v>
      </c>
      <c r="C8">
        <v>1</v>
      </c>
      <c r="D8" t="s">
        <v>72</v>
      </c>
      <c r="E8" t="s">
        <v>79</v>
      </c>
      <c r="F8" t="s">
        <v>74</v>
      </c>
      <c r="G8">
        <v>0</v>
      </c>
      <c r="H8">
        <v>2E+20</v>
      </c>
      <c r="I8">
        <v>0</v>
      </c>
      <c r="J8">
        <v>0</v>
      </c>
      <c r="K8">
        <v>22</v>
      </c>
      <c r="L8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8">
        <f t="array" ref="M8">MAX(IF((ProjectInfoTable[ProjectName]=DiscreteStatsTable[[#This Row],[ProjectName]]),(ProjectInfoTable[ProjectName]=DiscreteStatsTable[[#This Row],[ProjectName]])*ProjectInfoTable[NumberOfReplications]))</f>
        <v>1</v>
      </c>
      <c r="N8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8">
        <f t="array" ref="R8">MIN(IF((DiscreteStatsTable[GroupByKey]=DiscreteStatsTable[[#This Row],[GroupByKey]]),(DiscreteStatsTable[GroupByKey]=DiscreteStatsTable[[#This Row],[GroupByKey]])*DiscreteStatsTable[Average]))</f>
        <v>0</v>
      </c>
      <c r="S8">
        <f t="array" ref="S8">MAX(IF((DiscreteStatsTable[GroupByKey]=DiscreteStatsTable[[#This Row],[GroupByKey]]),(DiscreteStatsTable[GroupByKey]=DiscreteStatsTable[[#This Row],[GroupByKey]])*DiscreteStatsTable[Average]))</f>
        <v>0</v>
      </c>
      <c r="T8">
        <f t="array" ref="T8">MIN(IF((DiscreteStatsTable[GroupByKey]=DiscreteStatsTable[[#This Row],[GroupByKey]]),(DiscreteStatsTable[GroupByKey]=DiscreteStatsTable[[#This Row],[GroupByKey]])*DiscreteStatsTable[Minimum]))</f>
        <v>0</v>
      </c>
      <c r="U8">
        <f t="array" ref="U8">MAX(IF((DiscreteStatsTable[GroupByKey]=DiscreteStatsTable[[#This Row],[GroupByKey]]),(DiscreteStatsTable[GroupByKey]=DiscreteStatsTable[[#This Row],[GroupByKey]])*DiscreteStatsTable[Maximum]))</f>
        <v>0</v>
      </c>
      <c r="V8">
        <f t="array" ref="V8">IFERROR(AVERAGE(IF((DiscreteStatsTable[GroupByKey]=DiscreteStatsTable[[#This Row],[GroupByKey]]),(DiscreteStatsTable[GroupByKey]=DiscreteStatsTable[[#This Row],[GroupByKey]])*DiscreteStatsTable[NumberObservations])),0)</f>
        <v>22</v>
      </c>
      <c r="W8">
        <f>IF((DiscreteStatsTable[[#This Row],[RepsRequested]]&gt;1),DiscreteStatsTable[[#This Row],[HalfWidth]],DiscreteStatsTable[[#This Row],[BatchMeansHalfWidth]])</f>
        <v>2E+20</v>
      </c>
      <c r="X8">
        <f t="array" ref="X8">COUNT(IF((DiscreteStatsTable[GroupByKey]=DiscreteStatsTable[[#This Row],[GroupByKey]]),(DiscreteStatsTable[GroupByKey]=DiscreteStatsTable[[#This Row],[GroupByKey]])*DiscreteStatsTable[Replication]))</f>
        <v>1</v>
      </c>
      <c r="Y8">
        <f>IF(DiscreteStatsTable[[#This Row],[RepsRequested]]=DiscreteStatsTable[[#This Row],[RepsWithStatObserved]],1,0)</f>
        <v>1</v>
      </c>
    </row>
    <row r="9" spans="1:25" x14ac:dyDescent="0.35">
      <c r="A9" t="s">
        <v>66</v>
      </c>
      <c r="B9" t="s">
        <v>129</v>
      </c>
      <c r="C9">
        <v>1</v>
      </c>
      <c r="D9" t="s">
        <v>130</v>
      </c>
      <c r="E9" t="s">
        <v>131</v>
      </c>
      <c r="F9" t="s">
        <v>132</v>
      </c>
      <c r="G9">
        <v>1.4840787956933601</v>
      </c>
      <c r="H9">
        <v>2E+20</v>
      </c>
      <c r="I9">
        <v>0.69230453514027801</v>
      </c>
      <c r="J9">
        <v>2.2758530562464498</v>
      </c>
      <c r="K9">
        <v>2</v>
      </c>
      <c r="L9" t="str">
        <f>DiscreteStatsTable[[#This Row],[ProjectName]]&amp;DiscreteStatsTable[[#This Row],[Name]]&amp;DiscreteStatsTable[[#This Row],[Type]]&amp;DiscreteStatsTable[[#This Row],[Source]]</f>
        <v>Unnamed Projectgiris_zamaniIntervalUser Specified</v>
      </c>
      <c r="M9">
        <f t="array" ref="M9">MAX(IF((ProjectInfoTable[ProjectName]=DiscreteStatsTable[[#This Row],[ProjectName]]),(ProjectInfoTable[ProjectName]=DiscreteStatsTable[[#This Row],[ProjectName]])*ProjectInfoTable[NumberOfReplications]))</f>
        <v>1</v>
      </c>
      <c r="N9">
        <f t="array" ref="N9">IFERROR(AVERAGE(IF((DiscreteStatsTable[GroupByKey]=DiscreteStatsTable[[#This Row],[GroupByKey]]),(DiscreteStatsTable[GroupByKey]=DiscreteStatsTable[[#This Row],[GroupByKey]])*DiscreteStatsTable[Average])),0)</f>
        <v>1.4840787956933601</v>
      </c>
      <c r="O9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9">
        <f t="array" ref="R9">MIN(IF((DiscreteStatsTable[GroupByKey]=DiscreteStatsTable[[#This Row],[GroupByKey]]),(DiscreteStatsTable[GroupByKey]=DiscreteStatsTable[[#This Row],[GroupByKey]])*DiscreteStatsTable[Average]))</f>
        <v>1.4840787956933601</v>
      </c>
      <c r="S9">
        <f t="array" ref="S9">MAX(IF((DiscreteStatsTable[GroupByKey]=DiscreteStatsTable[[#This Row],[GroupByKey]]),(DiscreteStatsTable[GroupByKey]=DiscreteStatsTable[[#This Row],[GroupByKey]])*DiscreteStatsTable[Average]))</f>
        <v>1.4840787956933601</v>
      </c>
      <c r="T9">
        <f t="array" ref="T9">MIN(IF((DiscreteStatsTable[GroupByKey]=DiscreteStatsTable[[#This Row],[GroupByKey]]),(DiscreteStatsTable[GroupByKey]=DiscreteStatsTable[[#This Row],[GroupByKey]])*DiscreteStatsTable[Minimum]))</f>
        <v>0.69230453514027801</v>
      </c>
      <c r="U9">
        <f t="array" ref="U9">MAX(IF((DiscreteStatsTable[GroupByKey]=DiscreteStatsTable[[#This Row],[GroupByKey]]),(DiscreteStatsTable[GroupByKey]=DiscreteStatsTable[[#This Row],[GroupByKey]])*DiscreteStatsTable[Maximum]))</f>
        <v>2.2758530562464498</v>
      </c>
      <c r="V9">
        <f t="array" ref="V9">IFERROR(AVERAGE(IF((DiscreteStatsTable[GroupByKey]=DiscreteStatsTable[[#This Row],[GroupByKey]]),(DiscreteStatsTable[GroupByKey]=DiscreteStatsTable[[#This Row],[GroupByKey]])*DiscreteStatsTable[NumberObservations])),0)</f>
        <v>2</v>
      </c>
      <c r="W9">
        <f>IF((DiscreteStatsTable[[#This Row],[RepsRequested]]&gt;1),DiscreteStatsTable[[#This Row],[HalfWidth]],DiscreteStatsTable[[#This Row],[BatchMeansHalfWidth]])</f>
        <v>2E+20</v>
      </c>
      <c r="X9">
        <f t="array" ref="X9">COUNT(IF((DiscreteStatsTable[GroupByKey]=DiscreteStatsTable[[#This Row],[GroupByKey]]),(DiscreteStatsTable[GroupByKey]=DiscreteStatsTable[[#This Row],[GroupByKey]])*DiscreteStatsTable[Replication]))</f>
        <v>1</v>
      </c>
      <c r="Y9">
        <f>IF(DiscreteStatsTable[[#This Row],[RepsRequested]]=DiscreteStatsTable[[#This Row],[RepsWithStatObserved]],1,0)</f>
        <v>1</v>
      </c>
    </row>
    <row r="10" spans="1:25" x14ac:dyDescent="0.35">
      <c r="A10" t="s">
        <v>66</v>
      </c>
      <c r="B10" t="s">
        <v>129</v>
      </c>
      <c r="C10">
        <v>1</v>
      </c>
      <c r="D10" t="s">
        <v>80</v>
      </c>
      <c r="E10" t="s">
        <v>70</v>
      </c>
      <c r="F10" t="s">
        <v>71</v>
      </c>
      <c r="G10">
        <v>0</v>
      </c>
      <c r="H10">
        <v>2E+20</v>
      </c>
      <c r="I10">
        <v>0</v>
      </c>
      <c r="J10">
        <v>0</v>
      </c>
      <c r="K10">
        <v>2</v>
      </c>
      <c r="L10" s="5" t="str">
        <f>DiscreteStatsTable[[#This Row],[ProjectName]]&amp;DiscreteStatsTable[[#This Row],[Name]]&amp;DiscreteStatsTable[[#This Row],[Type]]&amp;DiscreteStatsTable[[#This Row],[Source]]</f>
        <v>Unnamed Projectyemekhane_girisine_kapasite.QueueWaiting TimeQueue</v>
      </c>
      <c r="M10" s="5">
        <f t="array" ref="M10">MAX(IF((ProjectInfoTable[ProjectName]=DiscreteStatsTable[[#This Row],[ProjectName]]),(ProjectInfoTable[ProjectName]=DiscreteStatsTable[[#This Row],[ProjectName]])*ProjectInfoTable[NumberOfReplications]))</f>
        <v>1</v>
      </c>
      <c r="N10" s="5">
        <f t="array" ref="N10">IFERROR(AVERAGE(IF((DiscreteStatsTable[GroupByKey]=DiscreteStatsTable[[#This Row],[GroupByKey]]),(DiscreteStatsTable[GroupByKey]=DiscreteStatsTable[[#This Row],[GroupByKey]])*DiscreteStatsTable[Average])),0)</f>
        <v>0</v>
      </c>
      <c r="O10" s="5">
        <f t="array" ref="O10">IFERROR(_xlfn.STDEV.S(IF((DiscreteStatsTable[GroupByKey]=DiscreteStatsTable[[#This Row],[GroupByKey]]),(DiscreteStatsTable[GroupByKey]=DiscreteStatsTable[[#This Row],[GroupByKey]])*DiscreteStatsTable[Average])),0)</f>
        <v>0</v>
      </c>
      <c r="P10" s="5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 s="5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0" s="5">
        <f t="array" ref="R10">MIN(IF((DiscreteStatsTable[GroupByKey]=DiscreteStatsTable[[#This Row],[GroupByKey]]),(DiscreteStatsTable[GroupByKey]=DiscreteStatsTable[[#This Row],[GroupByKey]])*DiscreteStatsTable[Average]))</f>
        <v>0</v>
      </c>
      <c r="S10" s="5">
        <f t="array" ref="S10">MAX(IF((DiscreteStatsTable[GroupByKey]=DiscreteStatsTable[[#This Row],[GroupByKey]]),(DiscreteStatsTable[GroupByKey]=DiscreteStatsTable[[#This Row],[GroupByKey]])*DiscreteStatsTable[Average]))</f>
        <v>0</v>
      </c>
      <c r="T10" s="5">
        <f t="array" ref="T10">MIN(IF((DiscreteStatsTable[GroupByKey]=DiscreteStatsTable[[#This Row],[GroupByKey]]),(DiscreteStatsTable[GroupByKey]=DiscreteStatsTable[[#This Row],[GroupByKey]])*DiscreteStatsTable[Minimum]))</f>
        <v>0</v>
      </c>
      <c r="U10" s="5">
        <f t="array" ref="U10">MAX(IF((DiscreteStatsTable[GroupByKey]=DiscreteStatsTable[[#This Row],[GroupByKey]]),(DiscreteStatsTable[GroupByKey]=DiscreteStatsTable[[#This Row],[GroupByKey]])*DiscreteStatsTable[Maximum]))</f>
        <v>0</v>
      </c>
      <c r="V10" s="5">
        <f t="array" ref="V10">IFERROR(AVERAGE(IF((DiscreteStatsTable[GroupByKey]=DiscreteStatsTable[[#This Row],[GroupByKey]]),(DiscreteStatsTable[GroupByKey]=DiscreteStatsTable[[#This Row],[GroupByKey]])*DiscreteStatsTable[NumberObservations])),0)</f>
        <v>2</v>
      </c>
      <c r="W10" s="5">
        <f>IF((DiscreteStatsTable[[#This Row],[RepsRequested]]&gt;1),DiscreteStatsTable[[#This Row],[HalfWidth]],DiscreteStatsTable[[#This Row],[BatchMeansHalfWidth]])</f>
        <v>2E+20</v>
      </c>
      <c r="X10" s="5">
        <f t="array" ref="X10">COUNT(IF((DiscreteStatsTable[GroupByKey]=DiscreteStatsTable[[#This Row],[GroupByKey]]),(DiscreteStatsTable[GroupByKey]=DiscreteStatsTable[[#This Row],[GroupByKey]])*DiscreteStatsTable[Replication]))</f>
        <v>1</v>
      </c>
      <c r="Y10" s="5">
        <f>IF(DiscreteStatsTable[[#This Row],[RepsRequested]]=DiscreteStatsTable[[#This Row],[RepsWithStatObserved]],1,0)</f>
        <v>1</v>
      </c>
    </row>
  </sheetData>
  <phoneticPr fontId="2" type="noConversion"/>
  <conditionalFormatting sqref="H2:H10 Q2:Q10">
    <cfRule type="expression" dxfId="29" priority="23">
      <formula>H2=200000000000000000000</formula>
    </cfRule>
  </conditionalFormatting>
  <conditionalFormatting sqref="H2:H10">
    <cfRule type="expression" dxfId="28" priority="21">
      <formula>H2=300000000000000000000</formula>
    </cfRule>
  </conditionalFormatting>
  <conditionalFormatting sqref="L2:Y10">
    <cfRule type="expression" dxfId="27" priority="19">
      <formula>MOD(ROW(),2)=0</formula>
    </cfRule>
  </conditionalFormatting>
  <conditionalFormatting sqref="Y2:Y10">
    <cfRule type="expression" dxfId="26" priority="14">
      <formula>Y2=0</formula>
    </cfRule>
    <cfRule type="expression" dxfId="25" priority="16">
      <formula>Y2=1</formula>
    </cfRule>
  </conditionalFormatting>
  <conditionalFormatting sqref="Y3:Y10">
    <cfRule type="expression" dxfId="24" priority="15">
      <formula>Y3=1</formula>
    </cfRule>
  </conditionalFormatting>
  <conditionalFormatting sqref="W2:W10">
    <cfRule type="expression" dxfId="23" priority="6">
      <formula>W2=300000000000000000000</formula>
    </cfRule>
    <cfRule type="expression" dxfId="22" priority="7">
      <formula>W2=200000000000000000000</formula>
    </cfRule>
  </conditionalFormatting>
  <conditionalFormatting sqref="Q2:Q10 W2:W10">
    <cfRule type="expression" dxfId="21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U37"/>
  <sheetViews>
    <sheetView workbookViewId="0">
      <selection activeCell="A2" sqref="A2:L11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31.81640625" bestFit="1" customWidth="1"/>
    <col min="5" max="5" width="21.81640625" bestFit="1" customWidth="1"/>
    <col min="6" max="6" width="8.7265625" bestFit="1" customWidth="1"/>
    <col min="7" max="7" width="11.81640625" bestFit="1" customWidth="1"/>
    <col min="8" max="8" width="22.1796875" bestFit="1" customWidth="1"/>
    <col min="9" max="9" width="11.1796875" bestFit="1" customWidth="1"/>
    <col min="10" max="10" width="11.54296875" bestFit="1" customWidth="1"/>
    <col min="11" max="11" width="19.26953125" bestFit="1" customWidth="1"/>
    <col min="12" max="12" width="11.1796875" bestFit="1" customWidth="1"/>
    <col min="13" max="13" width="66.1796875" bestFit="1" customWidth="1"/>
    <col min="14" max="14" width="16.08984375" bestFit="1" customWidth="1"/>
    <col min="15" max="15" width="18.6328125" bestFit="1" customWidth="1"/>
    <col min="16" max="16" width="16.7265625" bestFit="1" customWidth="1"/>
    <col min="17" max="17" width="19" bestFit="1" customWidth="1"/>
    <col min="18" max="18" width="11.6328125" bestFit="1" customWidth="1"/>
    <col min="19" max="19" width="18" bestFit="1" customWidth="1"/>
    <col min="20" max="20" width="18.36328125" bestFit="1" customWidth="1"/>
    <col min="21" max="21" width="19.7265625" bestFit="1" customWidth="1"/>
    <col min="22" max="22" width="20" bestFit="1" customWidth="1"/>
  </cols>
  <sheetData>
    <row r="1" spans="1:21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5">
      <c r="A2" t="s">
        <v>66</v>
      </c>
      <c r="B2" t="s">
        <v>129</v>
      </c>
      <c r="C2">
        <v>1</v>
      </c>
      <c r="D2" t="s">
        <v>81</v>
      </c>
      <c r="E2" t="s">
        <v>82</v>
      </c>
      <c r="F2" t="s">
        <v>83</v>
      </c>
      <c r="G2">
        <v>0</v>
      </c>
      <c r="H2">
        <v>2E+20</v>
      </c>
      <c r="I2">
        <v>0</v>
      </c>
      <c r="J2">
        <v>0</v>
      </c>
      <c r="K2">
        <v>0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ProjectCop_Kovasi_AlaniInstantaneous UtilizationResource</v>
      </c>
      <c r="N2">
        <f t="array" ref="N2">MAX(IF((ProjectInfoTable[ProjectName]=ContinuousStatsTable[[#This Row],[ProjectName]]),(ProjectInfoTable[ProjectName]=ContinuousStatsTable[[#This Row],[ProjectName]])*ProjectInfoTable[NumberOfReplications]))</f>
        <v>1</v>
      </c>
      <c r="O2">
        <f t="array" ref="O2">IFERROR(AVERAGE(IF((ContinuousStatsTable[GroupByKey]=ContinuousStatsTable[[#This Row],[GroupByKey]]),(ContinuousStatsTable[GroupByKey]=ContinuousStatsTable[[#This Row],[GroupByKey]])*ContinuousStatsTable[Average])),0)</f>
        <v>0</v>
      </c>
      <c r="P2">
        <f t="array" ref="P2">IFERROR(_xlfn.STDEV.S(IF((ContinuousStatsTable[GroupByKey]=ContinuousStatsTable[[#This Row],[GroupByKey]]),(ContinuousStatsTable[GroupByKey]=ContinuousStatsTable[[#This Row],[GroupByKey]])*ContinuousStatsTable[Average])),0)</f>
        <v>0</v>
      </c>
      <c r="Q2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">
        <f t="array" ref="S2">MIN(IF((ContinuousStatsTable[GroupByKey]=ContinuousStatsTable[[#This Row],[GroupByKey]]),(ContinuousStatsTable[GroupByKey]=ContinuousStatsTable[[#This Row],[GroupByKey]])*ContinuousStatsTable[Average]))</f>
        <v>0</v>
      </c>
      <c r="T2">
        <f t="array" ref="T2">MAX(IF((ContinuousStatsTable[GroupByKey]=ContinuousStatsTable[[#This Row],[GroupByKey]]),(ContinuousStatsTable[GroupByKey]=ContinuousStatsTable[[#This Row],[GroupByKey]])*ContinuousStatsTable[Average]))</f>
        <v>0</v>
      </c>
      <c r="U2">
        <f>IF((ContinuousStatsTable[[#This Row],[RepsRequested]]&gt;1),ContinuousStatsTable[[#This Row],[HalfWidth]],ContinuousStatsTable[[#This Row],[BatchMeansHalfWidth]])</f>
        <v>2E+20</v>
      </c>
    </row>
    <row r="3" spans="1:21" x14ac:dyDescent="0.35">
      <c r="A3" t="s">
        <v>66</v>
      </c>
      <c r="B3" t="s">
        <v>129</v>
      </c>
      <c r="C3">
        <v>1</v>
      </c>
      <c r="D3" t="s">
        <v>81</v>
      </c>
      <c r="E3" t="s">
        <v>84</v>
      </c>
      <c r="F3" t="s">
        <v>83</v>
      </c>
      <c r="G3">
        <v>0</v>
      </c>
      <c r="H3">
        <v>2E+20</v>
      </c>
      <c r="I3">
        <v>0</v>
      </c>
      <c r="J3">
        <v>0</v>
      </c>
      <c r="K3">
        <v>0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ProjectCop_Kovasi_AlaniNumber BusyResource</v>
      </c>
      <c r="N3">
        <f t="array" ref="N3">MAX(IF((ProjectInfoTable[ProjectName]=ContinuousStatsTable[[#This Row],[ProjectName]]),(ProjectInfoTable[ProjectName]=ContinuousStatsTable[[#This Row],[ProjectName]])*ProjectInfoTable[NumberOfReplications]))</f>
        <v>1</v>
      </c>
      <c r="O3">
        <f t="array" ref="O3">IFERROR(AVERAGE(IF((ContinuousStatsTable[GroupByKey]=ContinuousStatsTable[[#This Row],[GroupByKey]]),(ContinuousStatsTable[GroupByKey]=ContinuousStatsTable[[#This Row],[GroupByKey]])*ContinuousStatsTable[Average])),0)</f>
        <v>0</v>
      </c>
      <c r="P3">
        <f t="array" ref="P3">IFERROR(_xlfn.STDEV.S(IF((ContinuousStatsTable[GroupByKey]=ContinuousStatsTable[[#This Row],[GroupByKey]]),(ContinuousStatsTable[GroupByKey]=ContinuousStatsTable[[#This Row],[GroupByKey]])*ContinuousStatsTable[Average])),0)</f>
        <v>0</v>
      </c>
      <c r="Q3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">
        <f t="array" ref="S3">MIN(IF((ContinuousStatsTable[GroupByKey]=ContinuousStatsTable[[#This Row],[GroupByKey]]),(ContinuousStatsTable[GroupByKey]=ContinuousStatsTable[[#This Row],[GroupByKey]])*ContinuousStatsTable[Average]))</f>
        <v>0</v>
      </c>
      <c r="T3">
        <f t="array" ref="T3">MAX(IF((ContinuousStatsTable[GroupByKey]=ContinuousStatsTable[[#This Row],[GroupByKey]]),(ContinuousStatsTable[GroupByKey]=ContinuousStatsTable[[#This Row],[GroupByKey]])*ContinuousStatsTable[Average]))</f>
        <v>0</v>
      </c>
      <c r="U3">
        <f>IF((ContinuousStatsTable[[#This Row],[RepsRequested]]&gt;1),ContinuousStatsTable[[#This Row],[HalfWidth]],ContinuousStatsTable[[#This Row],[BatchMeansHalfWidth]])</f>
        <v>2E+20</v>
      </c>
    </row>
    <row r="4" spans="1:21" x14ac:dyDescent="0.35">
      <c r="A4" t="s">
        <v>66</v>
      </c>
      <c r="B4" t="s">
        <v>129</v>
      </c>
      <c r="C4">
        <v>1</v>
      </c>
      <c r="D4" t="s">
        <v>81</v>
      </c>
      <c r="E4" t="s">
        <v>85</v>
      </c>
      <c r="F4" t="s">
        <v>83</v>
      </c>
      <c r="G4">
        <v>10</v>
      </c>
      <c r="H4">
        <v>2E+20</v>
      </c>
      <c r="I4">
        <v>10</v>
      </c>
      <c r="J4">
        <v>10</v>
      </c>
      <c r="K4">
        <v>10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ProjectCop_Kovasi_AlaniNumber ScheduledResource</v>
      </c>
      <c r="N4">
        <f t="array" ref="N4">MAX(IF((ProjectInfoTable[ProjectName]=ContinuousStatsTable[[#This Row],[ProjectName]]),(ProjectInfoTable[ProjectName]=ContinuousStatsTable[[#This Row],[ProjectName]])*ProjectInfoTable[NumberOfReplications]))</f>
        <v>1</v>
      </c>
      <c r="O4">
        <f t="array" ref="O4">IFERROR(AVERAGE(IF((ContinuousStatsTable[GroupByKey]=ContinuousStatsTable[[#This Row],[GroupByKey]]),(ContinuousStatsTable[GroupByKey]=ContinuousStatsTable[[#This Row],[GroupByKey]])*ContinuousStatsTable[Average])),0)</f>
        <v>10</v>
      </c>
      <c r="P4">
        <f t="array" ref="P4">IFERROR(_xlfn.STDEV.S(IF((ContinuousStatsTable[GroupByKey]=ContinuousStatsTable[[#This Row],[GroupByKey]]),(ContinuousStatsTable[GroupByKey]=ContinuousStatsTable[[#This Row],[GroupByKey]])*ContinuousStatsTable[Average])),0)</f>
        <v>0</v>
      </c>
      <c r="Q4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4">
        <f t="array" ref="S4">MIN(IF((ContinuousStatsTable[GroupByKey]=ContinuousStatsTable[[#This Row],[GroupByKey]]),(ContinuousStatsTable[GroupByKey]=ContinuousStatsTable[[#This Row],[GroupByKey]])*ContinuousStatsTable[Average]))</f>
        <v>10</v>
      </c>
      <c r="T4">
        <f t="array" ref="T4">MAX(IF((ContinuousStatsTable[GroupByKey]=ContinuousStatsTable[[#This Row],[GroupByKey]]),(ContinuousStatsTable[GroupByKey]=ContinuousStatsTable[[#This Row],[GroupByKey]])*ContinuousStatsTable[Average]))</f>
        <v>10</v>
      </c>
      <c r="U4">
        <f>IF((ContinuousStatsTable[[#This Row],[RepsRequested]]&gt;1),ContinuousStatsTable[[#This Row],[HalfWidth]],ContinuousStatsTable[[#This Row],[BatchMeansHalfWidth]])</f>
        <v>2E+20</v>
      </c>
    </row>
    <row r="5" spans="1:21" x14ac:dyDescent="0.35">
      <c r="A5" t="s">
        <v>66</v>
      </c>
      <c r="B5" t="s">
        <v>129</v>
      </c>
      <c r="C5">
        <v>1</v>
      </c>
      <c r="D5" t="s">
        <v>69</v>
      </c>
      <c r="E5" t="s">
        <v>86</v>
      </c>
      <c r="F5" t="s">
        <v>71</v>
      </c>
      <c r="G5">
        <v>0.26123885539073</v>
      </c>
      <c r="H5">
        <v>2E+20</v>
      </c>
      <c r="I5">
        <v>0</v>
      </c>
      <c r="J5">
        <v>1</v>
      </c>
      <c r="K5">
        <v>0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ProjectEkmek_Bekleme_Noktasi.QueueNumber WaitingQueue</v>
      </c>
      <c r="N5">
        <f t="array" ref="N5">MAX(IF((ProjectInfoTable[ProjectName]=ContinuousStatsTable[[#This Row],[ProjectName]]),(ProjectInfoTable[ProjectName]=ContinuousStatsTable[[#This Row],[ProjectName]])*ProjectInfoTable[NumberOfReplications]))</f>
        <v>1</v>
      </c>
      <c r="O5">
        <f t="array" ref="O5">IFERROR(AVERAGE(IF((ContinuousStatsTable[GroupByKey]=ContinuousStatsTable[[#This Row],[GroupByKey]]),(ContinuousStatsTable[GroupByKey]=ContinuousStatsTable[[#This Row],[GroupByKey]])*ContinuousStatsTable[Average])),0)</f>
        <v>0.26123885539073</v>
      </c>
      <c r="P5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5">
        <f t="array" ref="S5">MIN(IF((ContinuousStatsTable[GroupByKey]=ContinuousStatsTable[[#This Row],[GroupByKey]]),(ContinuousStatsTable[GroupByKey]=ContinuousStatsTable[[#This Row],[GroupByKey]])*ContinuousStatsTable[Average]))</f>
        <v>0.26123885539073</v>
      </c>
      <c r="T5">
        <f t="array" ref="T5">MAX(IF((ContinuousStatsTable[GroupByKey]=ContinuousStatsTable[[#This Row],[GroupByKey]]),(ContinuousStatsTable[GroupByKey]=ContinuousStatsTable[[#This Row],[GroupByKey]])*ContinuousStatsTable[Average]))</f>
        <v>0.26123885539073</v>
      </c>
      <c r="U5">
        <f>IF((ContinuousStatsTable[[#This Row],[RepsRequested]]&gt;1),ContinuousStatsTable[[#This Row],[HalfWidth]],ContinuousStatsTable[[#This Row],[BatchMeansHalfWidth]])</f>
        <v>2E+20</v>
      </c>
    </row>
    <row r="6" spans="1:21" x14ac:dyDescent="0.35">
      <c r="A6" t="s">
        <v>66</v>
      </c>
      <c r="B6" t="s">
        <v>129</v>
      </c>
      <c r="C6">
        <v>1</v>
      </c>
      <c r="D6" t="s">
        <v>72</v>
      </c>
      <c r="E6" t="s">
        <v>87</v>
      </c>
      <c r="F6" t="s">
        <v>74</v>
      </c>
      <c r="G6">
        <v>1.50530706810221</v>
      </c>
      <c r="H6">
        <v>2E+20</v>
      </c>
      <c r="I6">
        <v>0</v>
      </c>
      <c r="J6">
        <v>3</v>
      </c>
      <c r="K6">
        <v>2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6">
        <f t="array" ref="N6">MAX(IF((ProjectInfoTable[ProjectName]=ContinuousStatsTable[[#This Row],[ProjectName]]),(ProjectInfoTable[ProjectName]=ContinuousStatsTable[[#This Row],[ProjectName]])*ProjectInfoTable[NumberOfReplications]))</f>
        <v>1</v>
      </c>
      <c r="O6">
        <f t="array" ref="O6">IFERROR(AVERAGE(IF((ContinuousStatsTable[GroupByKey]=ContinuousStatsTable[[#This Row],[GroupByKey]]),(ContinuousStatsTable[GroupByKey]=ContinuousStatsTable[[#This Row],[GroupByKey]])*ContinuousStatsTable[Average])),0)</f>
        <v>1.50530706810221</v>
      </c>
      <c r="P6">
        <f t="array" ref="P6">IFERROR(_xlfn.STDEV.S(IF((ContinuousStatsTable[GroupByKey]=ContinuousStatsTable[[#This Row],[GroupByKey]]),(ContinuousStatsTable[GroupByKey]=ContinuousStatsTable[[#This Row],[GroupByKey]])*ContinuousStatsTable[Average])),0)</f>
        <v>0</v>
      </c>
      <c r="Q6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6">
        <f t="array" ref="S6">MIN(IF((ContinuousStatsTable[GroupByKey]=ContinuousStatsTable[[#This Row],[GroupByKey]]),(ContinuousStatsTable[GroupByKey]=ContinuousStatsTable[[#This Row],[GroupByKey]])*ContinuousStatsTable[Average]))</f>
        <v>1.50530706810221</v>
      </c>
      <c r="T6">
        <f t="array" ref="T6">MAX(IF((ContinuousStatsTable[GroupByKey]=ContinuousStatsTable[[#This Row],[GroupByKey]]),(ContinuousStatsTable[GroupByKey]=ContinuousStatsTable[[#This Row],[GroupByKey]])*ContinuousStatsTable[Average]))</f>
        <v>1.50530706810221</v>
      </c>
      <c r="U6">
        <f>IF((ContinuousStatsTable[[#This Row],[RepsRequested]]&gt;1),ContinuousStatsTable[[#This Row],[HalfWidth]],ContinuousStatsTable[[#This Row],[BatchMeansHalfWidth]])</f>
        <v>2E+20</v>
      </c>
    </row>
    <row r="7" spans="1:21" x14ac:dyDescent="0.35">
      <c r="A7" t="s">
        <v>66</v>
      </c>
      <c r="B7" t="s">
        <v>129</v>
      </c>
      <c r="C7">
        <v>1</v>
      </c>
      <c r="D7" t="s">
        <v>88</v>
      </c>
      <c r="E7" t="s">
        <v>86</v>
      </c>
      <c r="F7" t="s">
        <v>71</v>
      </c>
      <c r="G7">
        <v>0</v>
      </c>
      <c r="H7">
        <v>2E+20</v>
      </c>
      <c r="I7">
        <v>0</v>
      </c>
      <c r="J7">
        <v>0</v>
      </c>
      <c r="K7">
        <v>0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ProjectEt_Hatti.QueueNumber WaitingQueue</v>
      </c>
      <c r="N7">
        <f t="array" ref="N7">MAX(IF((ProjectInfoTable[ProjectName]=ContinuousStatsTable[[#This Row],[ProjectName]]),(ProjectInfoTable[ProjectName]=ContinuousStatsTable[[#This Row],[ProjectName]])*ProjectInfoTable[NumberOfReplications]))</f>
        <v>1</v>
      </c>
      <c r="O7">
        <f t="array" ref="O7">IFERROR(AVERAGE(IF((ContinuousStatsTable[GroupByKey]=ContinuousStatsTable[[#This Row],[GroupByKey]]),(ContinuousStatsTable[GroupByKey]=ContinuousStatsTable[[#This Row],[GroupByKey]])*ContinuousStatsTable[Average])),0)</f>
        <v>0</v>
      </c>
      <c r="P7">
        <f t="array" ref="P7">IFERROR(_xlfn.STDEV.S(IF((ContinuousStatsTable[GroupByKey]=ContinuousStatsTable[[#This Row],[GroupByKey]]),(ContinuousStatsTable[GroupByKey]=ContinuousStatsTable[[#This Row],[GroupByKey]])*ContinuousStatsTable[Average])),0)</f>
        <v>0</v>
      </c>
      <c r="Q7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7">
        <f t="array" ref="S7">MIN(IF((ContinuousStatsTable[GroupByKey]=ContinuousStatsTable[[#This Row],[GroupByKey]]),(ContinuousStatsTable[GroupByKey]=ContinuousStatsTable[[#This Row],[GroupByKey]])*ContinuousStatsTable[Average]))</f>
        <v>0</v>
      </c>
      <c r="T7">
        <f t="array" ref="T7">MAX(IF((ContinuousStatsTable[GroupByKey]=ContinuousStatsTable[[#This Row],[GroupByKey]]),(ContinuousStatsTable[GroupByKey]=ContinuousStatsTable[[#This Row],[GroupByKey]])*ContinuousStatsTable[Average]))</f>
        <v>0</v>
      </c>
      <c r="U7">
        <f>IF((ContinuousStatsTable[[#This Row],[RepsRequested]]&gt;1),ContinuousStatsTable[[#This Row],[HalfWidth]],ContinuousStatsTable[[#This Row],[BatchMeansHalfWidth]])</f>
        <v>2E+20</v>
      </c>
    </row>
    <row r="8" spans="1:21" x14ac:dyDescent="0.35">
      <c r="A8" t="s">
        <v>66</v>
      </c>
      <c r="B8" t="s">
        <v>129</v>
      </c>
      <c r="C8">
        <v>1</v>
      </c>
      <c r="D8" t="s">
        <v>89</v>
      </c>
      <c r="E8" t="s">
        <v>82</v>
      </c>
      <c r="F8" t="s">
        <v>83</v>
      </c>
      <c r="G8">
        <v>0</v>
      </c>
      <c r="H8">
        <v>2E+20</v>
      </c>
      <c r="I8">
        <v>0</v>
      </c>
      <c r="J8">
        <v>0</v>
      </c>
      <c r="K8">
        <v>0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ProjectEt_Servis_PersoneliInstantaneous UtilizationResource</v>
      </c>
      <c r="N8">
        <f t="array" ref="N8">MAX(IF((ProjectInfoTable[ProjectName]=ContinuousStatsTable[[#This Row],[ProjectName]]),(ProjectInfoTable[ProjectName]=ContinuousStatsTable[[#This Row],[ProjectName]])*ProjectInfoTable[NumberOfReplications]))</f>
        <v>1</v>
      </c>
      <c r="O8">
        <f t="array" ref="O8">IFERROR(AVERAGE(IF((ContinuousStatsTable[GroupByKey]=ContinuousStatsTable[[#This Row],[GroupByKey]]),(ContinuousStatsTable[GroupByKey]=ContinuousStatsTable[[#This Row],[GroupByKey]])*ContinuousStatsTable[Average])),0)</f>
        <v>0</v>
      </c>
      <c r="P8">
        <f t="array" ref="P8">IFERROR(_xlfn.STDEV.S(IF((ContinuousStatsTable[GroupByKey]=ContinuousStatsTable[[#This Row],[GroupByKey]]),(ContinuousStatsTable[GroupByKey]=ContinuousStatsTable[[#This Row],[GroupByKey]])*ContinuousStatsTable[Average])),0)</f>
        <v>0</v>
      </c>
      <c r="Q8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8">
        <f t="array" ref="S8">MIN(IF((ContinuousStatsTable[GroupByKey]=ContinuousStatsTable[[#This Row],[GroupByKey]]),(ContinuousStatsTable[GroupByKey]=ContinuousStatsTable[[#This Row],[GroupByKey]])*ContinuousStatsTable[Average]))</f>
        <v>0</v>
      </c>
      <c r="T8">
        <f t="array" ref="T8">MAX(IF((ContinuousStatsTable[GroupByKey]=ContinuousStatsTable[[#This Row],[GroupByKey]]),(ContinuousStatsTable[GroupByKey]=ContinuousStatsTable[[#This Row],[GroupByKey]])*ContinuousStatsTable[Average]))</f>
        <v>0</v>
      </c>
      <c r="U8">
        <f>IF((ContinuousStatsTable[[#This Row],[RepsRequested]]&gt;1),ContinuousStatsTable[[#This Row],[HalfWidth]],ContinuousStatsTable[[#This Row],[BatchMeansHalfWidth]])</f>
        <v>2E+20</v>
      </c>
    </row>
    <row r="9" spans="1:21" x14ac:dyDescent="0.35">
      <c r="A9" t="s">
        <v>66</v>
      </c>
      <c r="B9" t="s">
        <v>129</v>
      </c>
      <c r="C9">
        <v>1</v>
      </c>
      <c r="D9" t="s">
        <v>89</v>
      </c>
      <c r="E9" t="s">
        <v>84</v>
      </c>
      <c r="F9" t="s">
        <v>83</v>
      </c>
      <c r="G9">
        <v>0</v>
      </c>
      <c r="H9">
        <v>2E+20</v>
      </c>
      <c r="I9">
        <v>0</v>
      </c>
      <c r="J9">
        <v>0</v>
      </c>
      <c r="K9">
        <v>0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ProjectEt_Servis_PersoneliNumber BusyResource</v>
      </c>
      <c r="N9">
        <f t="array" ref="N9">MAX(IF((ProjectInfoTable[ProjectName]=ContinuousStatsTable[[#This Row],[ProjectName]]),(ProjectInfoTable[ProjectName]=ContinuousStatsTable[[#This Row],[ProjectName]])*ProjectInfoTable[NumberOfReplications]))</f>
        <v>1</v>
      </c>
      <c r="O9">
        <f t="array" ref="O9">IFERROR(AVERAGE(IF((ContinuousStatsTable[GroupByKey]=ContinuousStatsTable[[#This Row],[GroupByKey]]),(ContinuousStatsTable[GroupByKey]=ContinuousStatsTable[[#This Row],[GroupByKey]])*ContinuousStatsTable[Average])),0)</f>
        <v>0</v>
      </c>
      <c r="P9">
        <f t="array" ref="P9">IFERROR(_xlfn.STDEV.S(IF((ContinuousStatsTable[GroupByKey]=ContinuousStatsTable[[#This Row],[GroupByKey]]),(ContinuousStatsTable[GroupByKey]=ContinuousStatsTable[[#This Row],[GroupByKey]])*ContinuousStatsTable[Average])),0)</f>
        <v>0</v>
      </c>
      <c r="Q9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9">
        <f t="array" ref="S9">MIN(IF((ContinuousStatsTable[GroupByKey]=ContinuousStatsTable[[#This Row],[GroupByKey]]),(ContinuousStatsTable[GroupByKey]=ContinuousStatsTable[[#This Row],[GroupByKey]])*ContinuousStatsTable[Average]))</f>
        <v>0</v>
      </c>
      <c r="T9">
        <f t="array" ref="T9">MAX(IF((ContinuousStatsTable[GroupByKey]=ContinuousStatsTable[[#This Row],[GroupByKey]]),(ContinuousStatsTable[GroupByKey]=ContinuousStatsTable[[#This Row],[GroupByKey]])*ContinuousStatsTable[Average]))</f>
        <v>0</v>
      </c>
      <c r="U9">
        <f>IF((ContinuousStatsTable[[#This Row],[RepsRequested]]&gt;1),ContinuousStatsTable[[#This Row],[HalfWidth]],ContinuousStatsTable[[#This Row],[BatchMeansHalfWidth]])</f>
        <v>2E+20</v>
      </c>
    </row>
    <row r="10" spans="1:21" x14ac:dyDescent="0.35">
      <c r="A10" t="s">
        <v>66</v>
      </c>
      <c r="B10" t="s">
        <v>129</v>
      </c>
      <c r="C10">
        <v>1</v>
      </c>
      <c r="D10" t="s">
        <v>89</v>
      </c>
      <c r="E10" t="s">
        <v>85</v>
      </c>
      <c r="F10" t="s">
        <v>83</v>
      </c>
      <c r="G10">
        <v>1</v>
      </c>
      <c r="H10">
        <v>2E+20</v>
      </c>
      <c r="I10">
        <v>1</v>
      </c>
      <c r="J10">
        <v>1</v>
      </c>
      <c r="K10">
        <v>1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ProjectEt_Servis_PersoneliNumber ScheduledResource</v>
      </c>
      <c r="N10">
        <f t="array" ref="N10">MAX(IF((ProjectInfoTable[ProjectName]=ContinuousStatsTable[[#This Row],[ProjectName]]),(ProjectInfoTable[ProjectName]=ContinuousStatsTable[[#This Row],[ProjectName]])*ProjectInfoTable[NumberOfReplications]))</f>
        <v>1</v>
      </c>
      <c r="O10">
        <f t="array" ref="O10">IFERROR(AVERAGE(IF((ContinuousStatsTable[GroupByKey]=ContinuousStatsTable[[#This Row],[GroupByKey]]),(ContinuousStatsTable[GroupByKey]=ContinuousStatsTable[[#This Row],[GroupByKey]])*ContinuousStatsTable[Average])),0)</f>
        <v>1</v>
      </c>
      <c r="P10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0">
        <f t="array" ref="S10">MIN(IF((ContinuousStatsTable[GroupByKey]=ContinuousStatsTable[[#This Row],[GroupByKey]]),(ContinuousStatsTable[GroupByKey]=ContinuousStatsTable[[#This Row],[GroupByKey]])*ContinuousStatsTable[Average]))</f>
        <v>1</v>
      </c>
      <c r="T10">
        <f t="array" ref="T10">MAX(IF((ContinuousStatsTable[GroupByKey]=ContinuousStatsTable[[#This Row],[GroupByKey]]),(ContinuousStatsTable[GroupByKey]=ContinuousStatsTable[[#This Row],[GroupByKey]])*ContinuousStatsTable[Average]))</f>
        <v>1</v>
      </c>
      <c r="U10">
        <f>IF((ContinuousStatsTable[[#This Row],[RepsRequested]]&gt;1),ContinuousStatsTable[[#This Row],[HalfWidth]],ContinuousStatsTable[[#This Row],[BatchMeansHalfWidth]])</f>
        <v>2E+20</v>
      </c>
    </row>
    <row r="11" spans="1:21" x14ac:dyDescent="0.35">
      <c r="A11" t="s">
        <v>66</v>
      </c>
      <c r="B11" t="s">
        <v>129</v>
      </c>
      <c r="C11">
        <v>1</v>
      </c>
      <c r="D11" t="s">
        <v>90</v>
      </c>
      <c r="E11" t="s">
        <v>86</v>
      </c>
      <c r="F11" t="s">
        <v>71</v>
      </c>
      <c r="G11">
        <v>0</v>
      </c>
      <c r="H11">
        <v>2E+20</v>
      </c>
      <c r="I11">
        <v>0</v>
      </c>
      <c r="J11">
        <v>0</v>
      </c>
      <c r="K11">
        <v>0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ProjectKahve_Alani.QueueNumber WaitingQueue</v>
      </c>
      <c r="N11">
        <f t="array" ref="N11">MAX(IF((ProjectInfoTable[ProjectName]=ContinuousStatsTable[[#This Row],[ProjectName]]),(ProjectInfoTable[ProjectName]=ContinuousStatsTable[[#This Row],[ProjectName]])*ProjectInfoTable[NumberOfReplications]))</f>
        <v>1</v>
      </c>
      <c r="O11">
        <f t="array" ref="O11">IFERROR(AVERAGE(IF((ContinuousStatsTable[GroupByKey]=ContinuousStatsTable[[#This Row],[GroupByKey]]),(ContinuousStatsTable[GroupByKey]=ContinuousStatsTable[[#This Row],[GroupByKey]])*ContinuousStatsTable[Average])),0)</f>
        <v>0</v>
      </c>
      <c r="P11">
        <f t="array" ref="P11">IFERROR(_xlfn.STDEV.S(IF((ContinuousStatsTable[GroupByKey]=ContinuousStatsTable[[#This Row],[GroupByKey]]),(ContinuousStatsTable[GroupByKey]=ContinuousStatsTable[[#This Row],[GroupByKey]])*ContinuousStatsTable[Average])),0)</f>
        <v>0</v>
      </c>
      <c r="Q1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1">
        <f t="array" ref="S11">MIN(IF((ContinuousStatsTable[GroupByKey]=ContinuousStatsTable[[#This Row],[GroupByKey]]),(ContinuousStatsTable[GroupByKey]=ContinuousStatsTable[[#This Row],[GroupByKey]])*ContinuousStatsTable[Average]))</f>
        <v>0</v>
      </c>
      <c r="T11">
        <f t="array" ref="T11">MAX(IF((ContinuousStatsTable[GroupByKey]=ContinuousStatsTable[[#This Row],[GroupByKey]]),(ContinuousStatsTable[GroupByKey]=ContinuousStatsTable[[#This Row],[GroupByKey]])*ContinuousStatsTable[Average]))</f>
        <v>0</v>
      </c>
      <c r="U11">
        <f>IF((ContinuousStatsTable[[#This Row],[RepsRequested]]&gt;1),ContinuousStatsTable[[#This Row],[HalfWidth]],ContinuousStatsTable[[#This Row],[BatchMeansHalfWidth]])</f>
        <v>2E+20</v>
      </c>
    </row>
    <row r="12" spans="1:21" x14ac:dyDescent="0.35">
      <c r="A12" t="s">
        <v>66</v>
      </c>
      <c r="B12" t="s">
        <v>129</v>
      </c>
      <c r="C12">
        <v>1</v>
      </c>
      <c r="D12" t="s">
        <v>91</v>
      </c>
      <c r="E12" t="s">
        <v>82</v>
      </c>
      <c r="F12" t="s">
        <v>83</v>
      </c>
      <c r="G12">
        <v>0</v>
      </c>
      <c r="H12">
        <v>2E+20</v>
      </c>
      <c r="I12">
        <v>0</v>
      </c>
      <c r="J12">
        <v>0</v>
      </c>
      <c r="K12">
        <v>0</v>
      </c>
      <c r="L12">
        <v>0</v>
      </c>
      <c r="M12" s="5" t="str">
        <f>ContinuousStatsTable[[#This Row],[ProjectName]]&amp;ContinuousStatsTable[[#This Row],[Name]]&amp;ContinuousStatsTable[[#This Row],[Type]]&amp;ContinuousStatsTable[[#This Row],[Source]]</f>
        <v>Unnamed ProjectKahve_Alani_KoltukInstantaneous UtilizationResource</v>
      </c>
      <c r="N12" s="5">
        <f t="array" ref="N12">MAX(IF((ProjectInfoTable[ProjectName]=ContinuousStatsTable[[#This Row],[ProjectName]]),(ProjectInfoTable[ProjectName]=ContinuousStatsTable[[#This Row],[ProjectName]])*ProjectInfoTable[NumberOfReplications]))</f>
        <v>1</v>
      </c>
      <c r="O12" s="5">
        <f t="array" ref="O12">IFERROR(AVERAGE(IF((ContinuousStatsTable[GroupByKey]=ContinuousStatsTable[[#This Row],[GroupByKey]]),(ContinuousStatsTable[GroupByKey]=ContinuousStatsTable[[#This Row],[GroupByKey]])*ContinuousStatsTable[Average])),0)</f>
        <v>0</v>
      </c>
      <c r="P12" s="5">
        <f t="array" ref="P12">IFERROR(_xlfn.STDEV.S(IF((ContinuousStatsTable[GroupByKey]=ContinuousStatsTable[[#This Row],[GroupByKey]]),(ContinuousStatsTable[GroupByKey]=ContinuousStatsTable[[#This Row],[GroupByKey]])*ContinuousStatsTable[Average])),0)</f>
        <v>0</v>
      </c>
      <c r="Q12" s="5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2" s="5">
        <f t="array" ref="S12">MIN(IF((ContinuousStatsTable[GroupByKey]=ContinuousStatsTable[[#This Row],[GroupByKey]]),(ContinuousStatsTable[GroupByKey]=ContinuousStatsTable[[#This Row],[GroupByKey]])*ContinuousStatsTable[Average]))</f>
        <v>0</v>
      </c>
      <c r="T12" s="5">
        <f t="array" ref="T12">MAX(IF((ContinuousStatsTable[GroupByKey]=ContinuousStatsTable[[#This Row],[GroupByKey]]),(ContinuousStatsTable[GroupByKey]=ContinuousStatsTable[[#This Row],[GroupByKey]])*ContinuousStatsTable[Average]))</f>
        <v>0</v>
      </c>
      <c r="U12" s="5">
        <f>IF((ContinuousStatsTable[[#This Row],[RepsRequested]]&gt;1),ContinuousStatsTable[[#This Row],[HalfWidth]],ContinuousStatsTable[[#This Row],[BatchMeansHalfWidth]])</f>
        <v>2E+20</v>
      </c>
    </row>
    <row r="13" spans="1:21" x14ac:dyDescent="0.35">
      <c r="A13" t="s">
        <v>66</v>
      </c>
      <c r="B13" t="s">
        <v>129</v>
      </c>
      <c r="C13">
        <v>1</v>
      </c>
      <c r="D13" t="s">
        <v>91</v>
      </c>
      <c r="E13" t="s">
        <v>84</v>
      </c>
      <c r="F13" t="s">
        <v>83</v>
      </c>
      <c r="G13">
        <v>0</v>
      </c>
      <c r="H13">
        <v>2E+20</v>
      </c>
      <c r="I13">
        <v>0</v>
      </c>
      <c r="J13">
        <v>0</v>
      </c>
      <c r="K13">
        <v>0</v>
      </c>
      <c r="L13">
        <v>0</v>
      </c>
      <c r="M13" s="5" t="str">
        <f>ContinuousStatsTable[[#This Row],[ProjectName]]&amp;ContinuousStatsTable[[#This Row],[Name]]&amp;ContinuousStatsTable[[#This Row],[Type]]&amp;ContinuousStatsTable[[#This Row],[Source]]</f>
        <v>Unnamed ProjectKahve_Alani_KoltukNumber BusyResource</v>
      </c>
      <c r="N13" s="5">
        <f t="array" ref="N13">MAX(IF((ProjectInfoTable[ProjectName]=ContinuousStatsTable[[#This Row],[ProjectName]]),(ProjectInfoTable[ProjectName]=ContinuousStatsTable[[#This Row],[ProjectName]])*ProjectInfoTable[NumberOfReplications]))</f>
        <v>1</v>
      </c>
      <c r="O13" s="5">
        <f t="array" ref="O13">IFERROR(AVERAGE(IF((ContinuousStatsTable[GroupByKey]=ContinuousStatsTable[[#This Row],[GroupByKey]]),(ContinuousStatsTable[GroupByKey]=ContinuousStatsTable[[#This Row],[GroupByKey]])*ContinuousStatsTable[Average])),0)</f>
        <v>0</v>
      </c>
      <c r="P13" s="5">
        <f t="array" ref="P13">IFERROR(_xlfn.STDEV.S(IF((ContinuousStatsTable[GroupByKey]=ContinuousStatsTable[[#This Row],[GroupByKey]]),(ContinuousStatsTable[GroupByKey]=ContinuousStatsTable[[#This Row],[GroupByKey]])*ContinuousStatsTable[Average])),0)</f>
        <v>0</v>
      </c>
      <c r="Q13" s="5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3" s="5">
        <f t="array" ref="S13">MIN(IF((ContinuousStatsTable[GroupByKey]=ContinuousStatsTable[[#This Row],[GroupByKey]]),(ContinuousStatsTable[GroupByKey]=ContinuousStatsTable[[#This Row],[GroupByKey]])*ContinuousStatsTable[Average]))</f>
        <v>0</v>
      </c>
      <c r="T13" s="5">
        <f t="array" ref="T13">MAX(IF((ContinuousStatsTable[GroupByKey]=ContinuousStatsTable[[#This Row],[GroupByKey]]),(ContinuousStatsTable[GroupByKey]=ContinuousStatsTable[[#This Row],[GroupByKey]])*ContinuousStatsTable[Average]))</f>
        <v>0</v>
      </c>
      <c r="U13" s="5">
        <f>IF((ContinuousStatsTable[[#This Row],[RepsRequested]]&gt;1),ContinuousStatsTable[[#This Row],[HalfWidth]],ContinuousStatsTable[[#This Row],[BatchMeansHalfWidth]])</f>
        <v>2E+20</v>
      </c>
    </row>
    <row r="14" spans="1:21" x14ac:dyDescent="0.35">
      <c r="A14" t="s">
        <v>66</v>
      </c>
      <c r="B14" t="s">
        <v>129</v>
      </c>
      <c r="C14">
        <v>1</v>
      </c>
      <c r="D14" t="s">
        <v>91</v>
      </c>
      <c r="E14" t="s">
        <v>85</v>
      </c>
      <c r="F14" t="s">
        <v>83</v>
      </c>
      <c r="G14">
        <v>100</v>
      </c>
      <c r="H14">
        <v>2E+20</v>
      </c>
      <c r="I14">
        <v>100</v>
      </c>
      <c r="J14">
        <v>100</v>
      </c>
      <c r="K14">
        <v>100</v>
      </c>
      <c r="L14">
        <v>0</v>
      </c>
      <c r="M14" s="5" t="str">
        <f>ContinuousStatsTable[[#This Row],[ProjectName]]&amp;ContinuousStatsTable[[#This Row],[Name]]&amp;ContinuousStatsTable[[#This Row],[Type]]&amp;ContinuousStatsTable[[#This Row],[Source]]</f>
        <v>Unnamed ProjectKahve_Alani_KoltukNumber ScheduledResource</v>
      </c>
      <c r="N14" s="5">
        <f t="array" ref="N14">MAX(IF((ProjectInfoTable[ProjectName]=ContinuousStatsTable[[#This Row],[ProjectName]]),(ProjectInfoTable[ProjectName]=ContinuousStatsTable[[#This Row],[ProjectName]])*ProjectInfoTable[NumberOfReplications]))</f>
        <v>1</v>
      </c>
      <c r="O14" s="5">
        <f t="array" ref="O14">IFERROR(AVERAGE(IF((ContinuousStatsTable[GroupByKey]=ContinuousStatsTable[[#This Row],[GroupByKey]]),(ContinuousStatsTable[GroupByKey]=ContinuousStatsTable[[#This Row],[GroupByKey]])*ContinuousStatsTable[Average])),0)</f>
        <v>100</v>
      </c>
      <c r="P14" s="5">
        <f t="array" ref="P14">IFERROR(_xlfn.STDEV.S(IF((ContinuousStatsTable[GroupByKey]=ContinuousStatsTable[[#This Row],[GroupByKey]]),(ContinuousStatsTable[GroupByKey]=ContinuousStatsTable[[#This Row],[GroupByKey]])*ContinuousStatsTable[Average])),0)</f>
        <v>0</v>
      </c>
      <c r="Q14" s="5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4" s="5">
        <f t="array" ref="S14">MIN(IF((ContinuousStatsTable[GroupByKey]=ContinuousStatsTable[[#This Row],[GroupByKey]]),(ContinuousStatsTable[GroupByKey]=ContinuousStatsTable[[#This Row],[GroupByKey]])*ContinuousStatsTable[Average]))</f>
        <v>100</v>
      </c>
      <c r="T14" s="5">
        <f t="array" ref="T14">MAX(IF((ContinuousStatsTable[GroupByKey]=ContinuousStatsTable[[#This Row],[GroupByKey]]),(ContinuousStatsTable[GroupByKey]=ContinuousStatsTable[[#This Row],[GroupByKey]])*ContinuousStatsTable[Average]))</f>
        <v>100</v>
      </c>
      <c r="U14" s="5">
        <f>IF((ContinuousStatsTable[[#This Row],[RepsRequested]]&gt;1),ContinuousStatsTable[[#This Row],[HalfWidth]],ContinuousStatsTable[[#This Row],[BatchMeansHalfWidth]])</f>
        <v>2E+20</v>
      </c>
    </row>
    <row r="15" spans="1:21" x14ac:dyDescent="0.35">
      <c r="A15" t="s">
        <v>66</v>
      </c>
      <c r="B15" t="s">
        <v>129</v>
      </c>
      <c r="C15">
        <v>1</v>
      </c>
      <c r="D15" t="s">
        <v>92</v>
      </c>
      <c r="E15" t="s">
        <v>82</v>
      </c>
      <c r="F15" t="s">
        <v>83</v>
      </c>
      <c r="G15">
        <v>0</v>
      </c>
      <c r="H15">
        <v>2E+20</v>
      </c>
      <c r="I15">
        <v>0</v>
      </c>
      <c r="J15">
        <v>0</v>
      </c>
      <c r="K15">
        <v>0</v>
      </c>
      <c r="L15">
        <v>0</v>
      </c>
      <c r="M15" s="5" t="str">
        <f>ContinuousStatsTable[[#This Row],[ProjectName]]&amp;ContinuousStatsTable[[#This Row],[Name]]&amp;ContinuousStatsTable[[#This Row],[Type]]&amp;ContinuousStatsTable[[#This Row],[Source]]</f>
        <v>Unnamed ProjectKahve_MakinesiInstantaneous UtilizationResource</v>
      </c>
      <c r="N15" s="5">
        <f t="array" ref="N15">MAX(IF((ProjectInfoTable[ProjectName]=ContinuousStatsTable[[#This Row],[ProjectName]]),(ProjectInfoTable[ProjectName]=ContinuousStatsTable[[#This Row],[ProjectName]])*ProjectInfoTable[NumberOfReplications]))</f>
        <v>1</v>
      </c>
      <c r="O15" s="5">
        <f t="array" ref="O15">IFERROR(AVERAGE(IF((ContinuousStatsTable[GroupByKey]=ContinuousStatsTable[[#This Row],[GroupByKey]]),(ContinuousStatsTable[GroupByKey]=ContinuousStatsTable[[#This Row],[GroupByKey]])*ContinuousStatsTable[Average])),0)</f>
        <v>0</v>
      </c>
      <c r="P15" s="5">
        <f t="array" ref="P15">IFERROR(_xlfn.STDEV.S(IF((ContinuousStatsTable[GroupByKey]=ContinuousStatsTable[[#This Row],[GroupByKey]]),(ContinuousStatsTable[GroupByKey]=ContinuousStatsTable[[#This Row],[GroupByKey]])*ContinuousStatsTable[Average])),0)</f>
        <v>0</v>
      </c>
      <c r="Q15" s="5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5" s="5">
        <f t="array" ref="S15">MIN(IF((ContinuousStatsTable[GroupByKey]=ContinuousStatsTable[[#This Row],[GroupByKey]]),(ContinuousStatsTable[GroupByKey]=ContinuousStatsTable[[#This Row],[GroupByKey]])*ContinuousStatsTable[Average]))</f>
        <v>0</v>
      </c>
      <c r="T15" s="5">
        <f t="array" ref="T15">MAX(IF((ContinuousStatsTable[GroupByKey]=ContinuousStatsTable[[#This Row],[GroupByKey]]),(ContinuousStatsTable[GroupByKey]=ContinuousStatsTable[[#This Row],[GroupByKey]])*ContinuousStatsTable[Average]))</f>
        <v>0</v>
      </c>
      <c r="U15" s="5">
        <f>IF((ContinuousStatsTable[[#This Row],[RepsRequested]]&gt;1),ContinuousStatsTable[[#This Row],[HalfWidth]],ContinuousStatsTable[[#This Row],[BatchMeansHalfWidth]])</f>
        <v>2E+20</v>
      </c>
    </row>
    <row r="16" spans="1:21" x14ac:dyDescent="0.35">
      <c r="A16" t="s">
        <v>66</v>
      </c>
      <c r="B16" t="s">
        <v>129</v>
      </c>
      <c r="C16">
        <v>1</v>
      </c>
      <c r="D16" t="s">
        <v>92</v>
      </c>
      <c r="E16" t="s">
        <v>84</v>
      </c>
      <c r="F16" t="s">
        <v>83</v>
      </c>
      <c r="G16">
        <v>0</v>
      </c>
      <c r="H16">
        <v>2E+20</v>
      </c>
      <c r="I16">
        <v>0</v>
      </c>
      <c r="J16">
        <v>0</v>
      </c>
      <c r="K16">
        <v>0</v>
      </c>
      <c r="L16">
        <v>0</v>
      </c>
      <c r="M16" s="5" t="str">
        <f>ContinuousStatsTable[[#This Row],[ProjectName]]&amp;ContinuousStatsTable[[#This Row],[Name]]&amp;ContinuousStatsTable[[#This Row],[Type]]&amp;ContinuousStatsTable[[#This Row],[Source]]</f>
        <v>Unnamed ProjectKahve_MakinesiNumber BusyResource</v>
      </c>
      <c r="N16" s="5">
        <f t="array" ref="N16">MAX(IF((ProjectInfoTable[ProjectName]=ContinuousStatsTable[[#This Row],[ProjectName]]),(ProjectInfoTable[ProjectName]=ContinuousStatsTable[[#This Row],[ProjectName]])*ProjectInfoTable[NumberOfReplications]))</f>
        <v>1</v>
      </c>
      <c r="O16" s="5">
        <f t="array" ref="O16">IFERROR(AVERAGE(IF((ContinuousStatsTable[GroupByKey]=ContinuousStatsTable[[#This Row],[GroupByKey]]),(ContinuousStatsTable[GroupByKey]=ContinuousStatsTable[[#This Row],[GroupByKey]])*ContinuousStatsTable[Average])),0)</f>
        <v>0</v>
      </c>
      <c r="P16" s="5">
        <f t="array" ref="P16">IFERROR(_xlfn.STDEV.S(IF((ContinuousStatsTable[GroupByKey]=ContinuousStatsTable[[#This Row],[GroupByKey]]),(ContinuousStatsTable[GroupByKey]=ContinuousStatsTable[[#This Row],[GroupByKey]])*ContinuousStatsTable[Average])),0)</f>
        <v>0</v>
      </c>
      <c r="Q16" s="5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6" s="5">
        <f t="array" ref="S16">MIN(IF((ContinuousStatsTable[GroupByKey]=ContinuousStatsTable[[#This Row],[GroupByKey]]),(ContinuousStatsTable[GroupByKey]=ContinuousStatsTable[[#This Row],[GroupByKey]])*ContinuousStatsTable[Average]))</f>
        <v>0</v>
      </c>
      <c r="T16" s="5">
        <f t="array" ref="T16">MAX(IF((ContinuousStatsTable[GroupByKey]=ContinuousStatsTable[[#This Row],[GroupByKey]]),(ContinuousStatsTable[GroupByKey]=ContinuousStatsTable[[#This Row],[GroupByKey]])*ContinuousStatsTable[Average]))</f>
        <v>0</v>
      </c>
      <c r="U16" s="5">
        <f>IF((ContinuousStatsTable[[#This Row],[RepsRequested]]&gt;1),ContinuousStatsTable[[#This Row],[HalfWidth]],ContinuousStatsTable[[#This Row],[BatchMeansHalfWidth]])</f>
        <v>2E+20</v>
      </c>
    </row>
    <row r="17" spans="1:21" x14ac:dyDescent="0.35">
      <c r="A17" t="s">
        <v>66</v>
      </c>
      <c r="B17" t="s">
        <v>129</v>
      </c>
      <c r="C17">
        <v>1</v>
      </c>
      <c r="D17" t="s">
        <v>92</v>
      </c>
      <c r="E17" t="s">
        <v>85</v>
      </c>
      <c r="F17" t="s">
        <v>83</v>
      </c>
      <c r="G17">
        <v>1</v>
      </c>
      <c r="H17">
        <v>2E+20</v>
      </c>
      <c r="I17">
        <v>1</v>
      </c>
      <c r="J17">
        <v>1</v>
      </c>
      <c r="K17">
        <v>1</v>
      </c>
      <c r="L17">
        <v>0</v>
      </c>
      <c r="M17" s="5" t="str">
        <f>ContinuousStatsTable[[#This Row],[ProjectName]]&amp;ContinuousStatsTable[[#This Row],[Name]]&amp;ContinuousStatsTable[[#This Row],[Type]]&amp;ContinuousStatsTable[[#This Row],[Source]]</f>
        <v>Unnamed ProjectKahve_MakinesiNumber ScheduledResource</v>
      </c>
      <c r="N17" s="5">
        <f t="array" ref="N17">MAX(IF((ProjectInfoTable[ProjectName]=ContinuousStatsTable[[#This Row],[ProjectName]]),(ProjectInfoTable[ProjectName]=ContinuousStatsTable[[#This Row],[ProjectName]])*ProjectInfoTable[NumberOfReplications]))</f>
        <v>1</v>
      </c>
      <c r="O17" s="5">
        <f t="array" ref="O17">IFERROR(AVERAGE(IF((ContinuousStatsTable[GroupByKey]=ContinuousStatsTable[[#This Row],[GroupByKey]]),(ContinuousStatsTable[GroupByKey]=ContinuousStatsTable[[#This Row],[GroupByKey]])*ContinuousStatsTable[Average])),0)</f>
        <v>1</v>
      </c>
      <c r="P17" s="5">
        <f t="array" ref="P17">IFERROR(_xlfn.STDEV.S(IF((ContinuousStatsTable[GroupByKey]=ContinuousStatsTable[[#This Row],[GroupByKey]]),(ContinuousStatsTable[GroupByKey]=ContinuousStatsTable[[#This Row],[GroupByKey]])*ContinuousStatsTable[Average])),0)</f>
        <v>0</v>
      </c>
      <c r="Q17" s="5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7" s="5">
        <f t="array" ref="S17">MIN(IF((ContinuousStatsTable[GroupByKey]=ContinuousStatsTable[[#This Row],[GroupByKey]]),(ContinuousStatsTable[GroupByKey]=ContinuousStatsTable[[#This Row],[GroupByKey]])*ContinuousStatsTable[Average]))</f>
        <v>1</v>
      </c>
      <c r="T17" s="5">
        <f t="array" ref="T17">MAX(IF((ContinuousStatsTable[GroupByKey]=ContinuousStatsTable[[#This Row],[GroupByKey]]),(ContinuousStatsTable[GroupByKey]=ContinuousStatsTable[[#This Row],[GroupByKey]])*ContinuousStatsTable[Average]))</f>
        <v>1</v>
      </c>
      <c r="U17" s="5">
        <f>IF((ContinuousStatsTable[[#This Row],[RepsRequested]]&gt;1),ContinuousStatsTable[[#This Row],[HalfWidth]],ContinuousStatsTable[[#This Row],[BatchMeansHalfWidth]])</f>
        <v>2E+20</v>
      </c>
    </row>
    <row r="18" spans="1:21" x14ac:dyDescent="0.35">
      <c r="A18" t="s">
        <v>66</v>
      </c>
      <c r="B18" t="s">
        <v>129</v>
      </c>
      <c r="C18">
        <v>1</v>
      </c>
      <c r="D18" t="s">
        <v>93</v>
      </c>
      <c r="E18" t="s">
        <v>82</v>
      </c>
      <c r="F18" t="s">
        <v>83</v>
      </c>
      <c r="G18">
        <v>0</v>
      </c>
      <c r="H18">
        <v>2E+20</v>
      </c>
      <c r="I18">
        <v>0</v>
      </c>
      <c r="J18">
        <v>0</v>
      </c>
      <c r="K18">
        <v>0</v>
      </c>
      <c r="L18">
        <v>0</v>
      </c>
      <c r="M18" s="5" t="str">
        <f>ContinuousStatsTable[[#This Row],[ProjectName]]&amp;ContinuousStatsTable[[#This Row],[Name]]&amp;ContinuousStatsTable[[#This Row],[Type]]&amp;ContinuousStatsTable[[#This Row],[Source]]</f>
        <v>Unnamed ProjectKantin_GorevlisiInstantaneous UtilizationResource</v>
      </c>
      <c r="N18" s="5">
        <f t="array" ref="N18">MAX(IF((ProjectInfoTable[ProjectName]=ContinuousStatsTable[[#This Row],[ProjectName]]),(ProjectInfoTable[ProjectName]=ContinuousStatsTable[[#This Row],[ProjectName]])*ProjectInfoTable[NumberOfReplications]))</f>
        <v>1</v>
      </c>
      <c r="O18" s="5">
        <f t="array" ref="O18">IFERROR(AVERAGE(IF((ContinuousStatsTable[GroupByKey]=ContinuousStatsTable[[#This Row],[GroupByKey]]),(ContinuousStatsTable[GroupByKey]=ContinuousStatsTable[[#This Row],[GroupByKey]])*ContinuousStatsTable[Average])),0)</f>
        <v>0</v>
      </c>
      <c r="P18" s="5">
        <f t="array" ref="P18">IFERROR(_xlfn.STDEV.S(IF((ContinuousStatsTable[GroupByKey]=ContinuousStatsTable[[#This Row],[GroupByKey]]),(ContinuousStatsTable[GroupByKey]=ContinuousStatsTable[[#This Row],[GroupByKey]])*ContinuousStatsTable[Average])),0)</f>
        <v>0</v>
      </c>
      <c r="Q18" s="5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8" s="5">
        <f t="array" ref="S18">MIN(IF((ContinuousStatsTable[GroupByKey]=ContinuousStatsTable[[#This Row],[GroupByKey]]),(ContinuousStatsTable[GroupByKey]=ContinuousStatsTable[[#This Row],[GroupByKey]])*ContinuousStatsTable[Average]))</f>
        <v>0</v>
      </c>
      <c r="T18" s="5">
        <f t="array" ref="T18">MAX(IF((ContinuousStatsTable[GroupByKey]=ContinuousStatsTable[[#This Row],[GroupByKey]]),(ContinuousStatsTable[GroupByKey]=ContinuousStatsTable[[#This Row],[GroupByKey]])*ContinuousStatsTable[Average]))</f>
        <v>0</v>
      </c>
      <c r="U18" s="5">
        <f>IF((ContinuousStatsTable[[#This Row],[RepsRequested]]&gt;1),ContinuousStatsTable[[#This Row],[HalfWidth]],ContinuousStatsTable[[#This Row],[BatchMeansHalfWidth]])</f>
        <v>2E+20</v>
      </c>
    </row>
    <row r="19" spans="1:21" x14ac:dyDescent="0.35">
      <c r="A19" t="s">
        <v>66</v>
      </c>
      <c r="B19" t="s">
        <v>129</v>
      </c>
      <c r="C19">
        <v>1</v>
      </c>
      <c r="D19" t="s">
        <v>93</v>
      </c>
      <c r="E19" t="s">
        <v>84</v>
      </c>
      <c r="F19" t="s">
        <v>83</v>
      </c>
      <c r="G19">
        <v>0</v>
      </c>
      <c r="H19">
        <v>2E+20</v>
      </c>
      <c r="I19">
        <v>0</v>
      </c>
      <c r="J19">
        <v>0</v>
      </c>
      <c r="K19">
        <v>0</v>
      </c>
      <c r="L19">
        <v>0</v>
      </c>
      <c r="M19" s="5" t="str">
        <f>ContinuousStatsTable[[#This Row],[ProjectName]]&amp;ContinuousStatsTable[[#This Row],[Name]]&amp;ContinuousStatsTable[[#This Row],[Type]]&amp;ContinuousStatsTable[[#This Row],[Source]]</f>
        <v>Unnamed ProjectKantin_GorevlisiNumber BusyResource</v>
      </c>
      <c r="N19" s="5">
        <f t="array" ref="N19">MAX(IF((ProjectInfoTable[ProjectName]=ContinuousStatsTable[[#This Row],[ProjectName]]),(ProjectInfoTable[ProjectName]=ContinuousStatsTable[[#This Row],[ProjectName]])*ProjectInfoTable[NumberOfReplications]))</f>
        <v>1</v>
      </c>
      <c r="O19" s="5">
        <f t="array" ref="O19">IFERROR(AVERAGE(IF((ContinuousStatsTable[GroupByKey]=ContinuousStatsTable[[#This Row],[GroupByKey]]),(ContinuousStatsTable[GroupByKey]=ContinuousStatsTable[[#This Row],[GroupByKey]])*ContinuousStatsTable[Average])),0)</f>
        <v>0</v>
      </c>
      <c r="P19" s="5">
        <f t="array" ref="P19">IFERROR(_xlfn.STDEV.S(IF((ContinuousStatsTable[GroupByKey]=ContinuousStatsTable[[#This Row],[GroupByKey]]),(ContinuousStatsTable[GroupByKey]=ContinuousStatsTable[[#This Row],[GroupByKey]])*ContinuousStatsTable[Average])),0)</f>
        <v>0</v>
      </c>
      <c r="Q19" s="5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9" s="5">
        <f t="array" ref="S19">MIN(IF((ContinuousStatsTable[GroupByKey]=ContinuousStatsTable[[#This Row],[GroupByKey]]),(ContinuousStatsTable[GroupByKey]=ContinuousStatsTable[[#This Row],[GroupByKey]])*ContinuousStatsTable[Average]))</f>
        <v>0</v>
      </c>
      <c r="T19" s="5">
        <f t="array" ref="T19">MAX(IF((ContinuousStatsTable[GroupByKey]=ContinuousStatsTable[[#This Row],[GroupByKey]]),(ContinuousStatsTable[GroupByKey]=ContinuousStatsTable[[#This Row],[GroupByKey]])*ContinuousStatsTable[Average]))</f>
        <v>0</v>
      </c>
      <c r="U19" s="5">
        <f>IF((ContinuousStatsTable[[#This Row],[RepsRequested]]&gt;1),ContinuousStatsTable[[#This Row],[HalfWidth]],ContinuousStatsTable[[#This Row],[BatchMeansHalfWidth]])</f>
        <v>2E+20</v>
      </c>
    </row>
    <row r="20" spans="1:21" x14ac:dyDescent="0.35">
      <c r="A20" t="s">
        <v>66</v>
      </c>
      <c r="B20" t="s">
        <v>129</v>
      </c>
      <c r="C20">
        <v>1</v>
      </c>
      <c r="D20" t="s">
        <v>93</v>
      </c>
      <c r="E20" t="s">
        <v>85</v>
      </c>
      <c r="F20" t="s">
        <v>83</v>
      </c>
      <c r="G20">
        <v>1</v>
      </c>
      <c r="H20">
        <v>2E+20</v>
      </c>
      <c r="I20">
        <v>1</v>
      </c>
      <c r="J20">
        <v>1</v>
      </c>
      <c r="K20">
        <v>1</v>
      </c>
      <c r="L20">
        <v>0</v>
      </c>
      <c r="M20" s="5" t="str">
        <f>ContinuousStatsTable[[#This Row],[ProjectName]]&amp;ContinuousStatsTable[[#This Row],[Name]]&amp;ContinuousStatsTable[[#This Row],[Type]]&amp;ContinuousStatsTable[[#This Row],[Source]]</f>
        <v>Unnamed ProjectKantin_GorevlisiNumber ScheduledResource</v>
      </c>
      <c r="N20" s="5">
        <f t="array" ref="N20">MAX(IF((ProjectInfoTable[ProjectName]=ContinuousStatsTable[[#This Row],[ProjectName]]),(ProjectInfoTable[ProjectName]=ContinuousStatsTable[[#This Row],[ProjectName]])*ProjectInfoTable[NumberOfReplications]))</f>
        <v>1</v>
      </c>
      <c r="O20" s="5">
        <f t="array" ref="O20">IFERROR(AVERAGE(IF((ContinuousStatsTable[GroupByKey]=ContinuousStatsTable[[#This Row],[GroupByKey]]),(ContinuousStatsTable[GroupByKey]=ContinuousStatsTable[[#This Row],[GroupByKey]])*ContinuousStatsTable[Average])),0)</f>
        <v>1</v>
      </c>
      <c r="P20" s="5">
        <f t="array" ref="P20">IFERROR(_xlfn.STDEV.S(IF((ContinuousStatsTable[GroupByKey]=ContinuousStatsTable[[#This Row],[GroupByKey]]),(ContinuousStatsTable[GroupByKey]=ContinuousStatsTable[[#This Row],[GroupByKey]])*ContinuousStatsTable[Average])),0)</f>
        <v>0</v>
      </c>
      <c r="Q20" s="5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0" s="5">
        <f t="array" ref="S20">MIN(IF((ContinuousStatsTable[GroupByKey]=ContinuousStatsTable[[#This Row],[GroupByKey]]),(ContinuousStatsTable[GroupByKey]=ContinuousStatsTable[[#This Row],[GroupByKey]])*ContinuousStatsTable[Average]))</f>
        <v>1</v>
      </c>
      <c r="T20" s="5">
        <f t="array" ref="T20">MAX(IF((ContinuousStatsTable[GroupByKey]=ContinuousStatsTable[[#This Row],[GroupByKey]]),(ContinuousStatsTable[GroupByKey]=ContinuousStatsTable[[#This Row],[GroupByKey]])*ContinuousStatsTable[Average]))</f>
        <v>1</v>
      </c>
      <c r="U20" s="5">
        <f>IF((ContinuousStatsTable[[#This Row],[RepsRequested]]&gt;1),ContinuousStatsTable[[#This Row],[HalfWidth]],ContinuousStatsTable[[#This Row],[BatchMeansHalfWidth]])</f>
        <v>2E+20</v>
      </c>
    </row>
    <row r="21" spans="1:21" x14ac:dyDescent="0.35">
      <c r="A21" t="s">
        <v>66</v>
      </c>
      <c r="B21" t="s">
        <v>129</v>
      </c>
      <c r="C21">
        <v>1</v>
      </c>
      <c r="D21" t="s">
        <v>94</v>
      </c>
      <c r="E21" t="s">
        <v>86</v>
      </c>
      <c r="F21" t="s">
        <v>71</v>
      </c>
      <c r="G21">
        <v>0</v>
      </c>
      <c r="H21">
        <v>2E+20</v>
      </c>
      <c r="I21">
        <v>0</v>
      </c>
      <c r="J21">
        <v>0</v>
      </c>
      <c r="K21">
        <v>0</v>
      </c>
      <c r="L21">
        <v>0</v>
      </c>
      <c r="M21" s="5" t="str">
        <f>ContinuousStatsTable[[#This Row],[ProjectName]]&amp;ContinuousStatsTable[[#This Row],[Name]]&amp;ContinuousStatsTable[[#This Row],[Type]]&amp;ContinuousStatsTable[[#This Row],[Source]]</f>
        <v>Unnamed ProjectMasa_Kapma.QueueNumber WaitingQueue</v>
      </c>
      <c r="N21" s="5">
        <f t="array" ref="N21">MAX(IF((ProjectInfoTable[ProjectName]=ContinuousStatsTable[[#This Row],[ProjectName]]),(ProjectInfoTable[ProjectName]=ContinuousStatsTable[[#This Row],[ProjectName]])*ProjectInfoTable[NumberOfReplications]))</f>
        <v>1</v>
      </c>
      <c r="O21" s="5">
        <f t="array" ref="O21">IFERROR(AVERAGE(IF((ContinuousStatsTable[GroupByKey]=ContinuousStatsTable[[#This Row],[GroupByKey]]),(ContinuousStatsTable[GroupByKey]=ContinuousStatsTable[[#This Row],[GroupByKey]])*ContinuousStatsTable[Average])),0)</f>
        <v>0</v>
      </c>
      <c r="P21" s="5">
        <f t="array" ref="P21">IFERROR(_xlfn.STDEV.S(IF((ContinuousStatsTable[GroupByKey]=ContinuousStatsTable[[#This Row],[GroupByKey]]),(ContinuousStatsTable[GroupByKey]=ContinuousStatsTable[[#This Row],[GroupByKey]])*ContinuousStatsTable[Average])),0)</f>
        <v>0</v>
      </c>
      <c r="Q21" s="5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1" s="5">
        <f t="array" ref="S21">MIN(IF((ContinuousStatsTable[GroupByKey]=ContinuousStatsTable[[#This Row],[GroupByKey]]),(ContinuousStatsTable[GroupByKey]=ContinuousStatsTable[[#This Row],[GroupByKey]])*ContinuousStatsTable[Average]))</f>
        <v>0</v>
      </c>
      <c r="T21" s="5">
        <f t="array" ref="T21">MAX(IF((ContinuousStatsTable[GroupByKey]=ContinuousStatsTable[[#This Row],[GroupByKey]]),(ContinuousStatsTable[GroupByKey]=ContinuousStatsTable[[#This Row],[GroupByKey]])*ContinuousStatsTable[Average]))</f>
        <v>0</v>
      </c>
      <c r="U21" s="5">
        <f>IF((ContinuousStatsTable[[#This Row],[RepsRequested]]&gt;1),ContinuousStatsTable[[#This Row],[HalfWidth]],ContinuousStatsTable[[#This Row],[BatchMeansHalfWidth]])</f>
        <v>2E+20</v>
      </c>
    </row>
    <row r="22" spans="1:21" x14ac:dyDescent="0.35">
      <c r="A22" t="s">
        <v>66</v>
      </c>
      <c r="B22" t="s">
        <v>129</v>
      </c>
      <c r="C22">
        <v>1</v>
      </c>
      <c r="D22" t="s">
        <v>95</v>
      </c>
      <c r="E22" t="s">
        <v>82</v>
      </c>
      <c r="F22" t="s">
        <v>83</v>
      </c>
      <c r="G22">
        <v>0</v>
      </c>
      <c r="H22">
        <v>2E+20</v>
      </c>
      <c r="I22">
        <v>0</v>
      </c>
      <c r="J22">
        <v>0</v>
      </c>
      <c r="K22">
        <v>0</v>
      </c>
      <c r="L22">
        <v>0</v>
      </c>
      <c r="M22" s="5" t="str">
        <f>ContinuousStatsTable[[#This Row],[ProjectName]]&amp;ContinuousStatsTable[[#This Row],[Name]]&amp;ContinuousStatsTable[[#This Row],[Type]]&amp;ContinuousStatsTable[[#This Row],[Source]]</f>
        <v>Unnamed ProjectParmak Ýzi CihazInstantaneous UtilizationResource</v>
      </c>
      <c r="N22" s="5">
        <f t="array" ref="N22">MAX(IF((ProjectInfoTable[ProjectName]=ContinuousStatsTable[[#This Row],[ProjectName]]),(ProjectInfoTable[ProjectName]=ContinuousStatsTable[[#This Row],[ProjectName]])*ProjectInfoTable[NumberOfReplications]))</f>
        <v>1</v>
      </c>
      <c r="O22" s="5">
        <f t="array" ref="O22">IFERROR(AVERAGE(IF((ContinuousStatsTable[GroupByKey]=ContinuousStatsTable[[#This Row],[GroupByKey]]),(ContinuousStatsTable[GroupByKey]=ContinuousStatsTable[[#This Row],[GroupByKey]])*ContinuousStatsTable[Average])),0)</f>
        <v>0</v>
      </c>
      <c r="P22" s="5">
        <f t="array" ref="P22">IFERROR(_xlfn.STDEV.S(IF((ContinuousStatsTable[GroupByKey]=ContinuousStatsTable[[#This Row],[GroupByKey]]),(ContinuousStatsTable[GroupByKey]=ContinuousStatsTable[[#This Row],[GroupByKey]])*ContinuousStatsTable[Average])),0)</f>
        <v>0</v>
      </c>
      <c r="Q22" s="5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2" s="5">
        <f t="array" ref="S22">MIN(IF((ContinuousStatsTable[GroupByKey]=ContinuousStatsTable[[#This Row],[GroupByKey]]),(ContinuousStatsTable[GroupByKey]=ContinuousStatsTable[[#This Row],[GroupByKey]])*ContinuousStatsTable[Average]))</f>
        <v>0</v>
      </c>
      <c r="T22" s="5">
        <f t="array" ref="T22">MAX(IF((ContinuousStatsTable[GroupByKey]=ContinuousStatsTable[[#This Row],[GroupByKey]]),(ContinuousStatsTable[GroupByKey]=ContinuousStatsTable[[#This Row],[GroupByKey]])*ContinuousStatsTable[Average]))</f>
        <v>0</v>
      </c>
      <c r="U22" s="5">
        <f>IF((ContinuousStatsTable[[#This Row],[RepsRequested]]&gt;1),ContinuousStatsTable[[#This Row],[HalfWidth]],ContinuousStatsTable[[#This Row],[BatchMeansHalfWidth]])</f>
        <v>2E+20</v>
      </c>
    </row>
    <row r="23" spans="1:21" x14ac:dyDescent="0.35">
      <c r="A23" t="s">
        <v>66</v>
      </c>
      <c r="B23" t="s">
        <v>129</v>
      </c>
      <c r="C23">
        <v>1</v>
      </c>
      <c r="D23" t="s">
        <v>95</v>
      </c>
      <c r="E23" t="s">
        <v>84</v>
      </c>
      <c r="F23" t="s">
        <v>83</v>
      </c>
      <c r="G23">
        <v>0</v>
      </c>
      <c r="H23">
        <v>2E+20</v>
      </c>
      <c r="I23">
        <v>0</v>
      </c>
      <c r="J23">
        <v>0</v>
      </c>
      <c r="K23">
        <v>0</v>
      </c>
      <c r="L23">
        <v>0</v>
      </c>
      <c r="M23" s="5" t="str">
        <f>ContinuousStatsTable[[#This Row],[ProjectName]]&amp;ContinuousStatsTable[[#This Row],[Name]]&amp;ContinuousStatsTable[[#This Row],[Type]]&amp;ContinuousStatsTable[[#This Row],[Source]]</f>
        <v>Unnamed ProjectParmak Ýzi CihazNumber BusyResource</v>
      </c>
      <c r="N23" s="5">
        <f t="array" ref="N23">MAX(IF((ProjectInfoTable[ProjectName]=ContinuousStatsTable[[#This Row],[ProjectName]]),(ProjectInfoTable[ProjectName]=ContinuousStatsTable[[#This Row],[ProjectName]])*ProjectInfoTable[NumberOfReplications]))</f>
        <v>1</v>
      </c>
      <c r="O23" s="5">
        <f t="array" ref="O23">IFERROR(AVERAGE(IF((ContinuousStatsTable[GroupByKey]=ContinuousStatsTable[[#This Row],[GroupByKey]]),(ContinuousStatsTable[GroupByKey]=ContinuousStatsTable[[#This Row],[GroupByKey]])*ContinuousStatsTable[Average])),0)</f>
        <v>0</v>
      </c>
      <c r="P23" s="5">
        <f t="array" ref="P23">IFERROR(_xlfn.STDEV.S(IF((ContinuousStatsTable[GroupByKey]=ContinuousStatsTable[[#This Row],[GroupByKey]]),(ContinuousStatsTable[GroupByKey]=ContinuousStatsTable[[#This Row],[GroupByKey]])*ContinuousStatsTable[Average])),0)</f>
        <v>0</v>
      </c>
      <c r="Q23" s="5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3" s="5">
        <f t="array" ref="S23">MIN(IF((ContinuousStatsTable[GroupByKey]=ContinuousStatsTable[[#This Row],[GroupByKey]]),(ContinuousStatsTable[GroupByKey]=ContinuousStatsTable[[#This Row],[GroupByKey]])*ContinuousStatsTable[Average]))</f>
        <v>0</v>
      </c>
      <c r="T23" s="5">
        <f t="array" ref="T23">MAX(IF((ContinuousStatsTable[GroupByKey]=ContinuousStatsTable[[#This Row],[GroupByKey]]),(ContinuousStatsTable[GroupByKey]=ContinuousStatsTable[[#This Row],[GroupByKey]])*ContinuousStatsTable[Average]))</f>
        <v>0</v>
      </c>
      <c r="U23" s="5">
        <f>IF((ContinuousStatsTable[[#This Row],[RepsRequested]]&gt;1),ContinuousStatsTable[[#This Row],[HalfWidth]],ContinuousStatsTable[[#This Row],[BatchMeansHalfWidth]])</f>
        <v>2E+20</v>
      </c>
    </row>
    <row r="24" spans="1:21" x14ac:dyDescent="0.35">
      <c r="A24" t="s">
        <v>66</v>
      </c>
      <c r="B24" t="s">
        <v>129</v>
      </c>
      <c r="C24">
        <v>1</v>
      </c>
      <c r="D24" t="s">
        <v>95</v>
      </c>
      <c r="E24" t="s">
        <v>85</v>
      </c>
      <c r="F24" t="s">
        <v>83</v>
      </c>
      <c r="G24">
        <v>1</v>
      </c>
      <c r="H24">
        <v>2E+20</v>
      </c>
      <c r="I24">
        <v>1</v>
      </c>
      <c r="J24">
        <v>1</v>
      </c>
      <c r="K24">
        <v>1</v>
      </c>
      <c r="L24">
        <v>0</v>
      </c>
      <c r="M24" s="5" t="str">
        <f>ContinuousStatsTable[[#This Row],[ProjectName]]&amp;ContinuousStatsTable[[#This Row],[Name]]&amp;ContinuousStatsTable[[#This Row],[Type]]&amp;ContinuousStatsTable[[#This Row],[Source]]</f>
        <v>Unnamed ProjectParmak Ýzi CihazNumber ScheduledResource</v>
      </c>
      <c r="N24" s="5">
        <f t="array" ref="N24">MAX(IF((ProjectInfoTable[ProjectName]=ContinuousStatsTable[[#This Row],[ProjectName]]),(ProjectInfoTable[ProjectName]=ContinuousStatsTable[[#This Row],[ProjectName]])*ProjectInfoTable[NumberOfReplications]))</f>
        <v>1</v>
      </c>
      <c r="O24" s="5">
        <f t="array" ref="O24">IFERROR(AVERAGE(IF((ContinuousStatsTable[GroupByKey]=ContinuousStatsTable[[#This Row],[GroupByKey]]),(ContinuousStatsTable[GroupByKey]=ContinuousStatsTable[[#This Row],[GroupByKey]])*ContinuousStatsTable[Average])),0)</f>
        <v>1</v>
      </c>
      <c r="P24" s="5">
        <f t="array" ref="P24">IFERROR(_xlfn.STDEV.S(IF((ContinuousStatsTable[GroupByKey]=ContinuousStatsTable[[#This Row],[GroupByKey]]),(ContinuousStatsTable[GroupByKey]=ContinuousStatsTable[[#This Row],[GroupByKey]])*ContinuousStatsTable[Average])),0)</f>
        <v>0</v>
      </c>
      <c r="Q24" s="5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4" s="5">
        <f t="array" ref="S24">MIN(IF((ContinuousStatsTable[GroupByKey]=ContinuousStatsTable[[#This Row],[GroupByKey]]),(ContinuousStatsTable[GroupByKey]=ContinuousStatsTable[[#This Row],[GroupByKey]])*ContinuousStatsTable[Average]))</f>
        <v>1</v>
      </c>
      <c r="T24" s="5">
        <f t="array" ref="T24">MAX(IF((ContinuousStatsTable[GroupByKey]=ContinuousStatsTable[[#This Row],[GroupByKey]]),(ContinuousStatsTable[GroupByKey]=ContinuousStatsTable[[#This Row],[GroupByKey]])*ContinuousStatsTable[Average]))</f>
        <v>1</v>
      </c>
      <c r="U24" s="5">
        <f>IF((ContinuousStatsTable[[#This Row],[RepsRequested]]&gt;1),ContinuousStatsTable[[#This Row],[HalfWidth]],ContinuousStatsTable[[#This Row],[BatchMeansHalfWidth]])</f>
        <v>2E+20</v>
      </c>
    </row>
    <row r="25" spans="1:21" x14ac:dyDescent="0.35">
      <c r="A25" t="s">
        <v>66</v>
      </c>
      <c r="B25" t="s">
        <v>129</v>
      </c>
      <c r="C25">
        <v>1</v>
      </c>
      <c r="D25" t="s">
        <v>96</v>
      </c>
      <c r="E25" t="s">
        <v>86</v>
      </c>
      <c r="F25" t="s">
        <v>71</v>
      </c>
      <c r="G25">
        <v>1.2440682127114799</v>
      </c>
      <c r="H25">
        <v>2E+20</v>
      </c>
      <c r="I25">
        <v>0</v>
      </c>
      <c r="J25">
        <v>2</v>
      </c>
      <c r="K25">
        <v>2</v>
      </c>
      <c r="L25">
        <v>0</v>
      </c>
      <c r="M25" s="5" t="str">
        <f>ContinuousStatsTable[[#This Row],[ProjectName]]&amp;ContinuousStatsTable[[#This Row],[Name]]&amp;ContinuousStatsTable[[#This Row],[Type]]&amp;ContinuousStatsTable[[#This Row],[Source]]</f>
        <v>Unnamed ProjectSebze_Hatti.QueueNumber WaitingQueue</v>
      </c>
      <c r="N25" s="5">
        <f t="array" ref="N25">MAX(IF((ProjectInfoTable[ProjectName]=ContinuousStatsTable[[#This Row],[ProjectName]]),(ProjectInfoTable[ProjectName]=ContinuousStatsTable[[#This Row],[ProjectName]])*ProjectInfoTable[NumberOfReplications]))</f>
        <v>1</v>
      </c>
      <c r="O25" s="5">
        <f t="array" ref="O25">IFERROR(AVERAGE(IF((ContinuousStatsTable[GroupByKey]=ContinuousStatsTable[[#This Row],[GroupByKey]]),(ContinuousStatsTable[GroupByKey]=ContinuousStatsTable[[#This Row],[GroupByKey]])*ContinuousStatsTable[Average])),0)</f>
        <v>1.2440682127114799</v>
      </c>
      <c r="P25" s="5">
        <f t="array" ref="P25">IFERROR(_xlfn.STDEV.S(IF((ContinuousStatsTable[GroupByKey]=ContinuousStatsTable[[#This Row],[GroupByKey]]),(ContinuousStatsTable[GroupByKey]=ContinuousStatsTable[[#This Row],[GroupByKey]])*ContinuousStatsTable[Average])),0)</f>
        <v>0</v>
      </c>
      <c r="Q25" s="5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5" s="5">
        <f t="array" ref="S25">MIN(IF((ContinuousStatsTable[GroupByKey]=ContinuousStatsTable[[#This Row],[GroupByKey]]),(ContinuousStatsTable[GroupByKey]=ContinuousStatsTable[[#This Row],[GroupByKey]])*ContinuousStatsTable[Average]))</f>
        <v>1.2440682127114799</v>
      </c>
      <c r="T25" s="5">
        <f t="array" ref="T25">MAX(IF((ContinuousStatsTable[GroupByKey]=ContinuousStatsTable[[#This Row],[GroupByKey]]),(ContinuousStatsTable[GroupByKey]=ContinuousStatsTable[[#This Row],[GroupByKey]])*ContinuousStatsTable[Average]))</f>
        <v>1.2440682127114799</v>
      </c>
      <c r="U25" s="5">
        <f>IF((ContinuousStatsTable[[#This Row],[RepsRequested]]&gt;1),ContinuousStatsTable[[#This Row],[HalfWidth]],ContinuousStatsTable[[#This Row],[BatchMeansHalfWidth]])</f>
        <v>2E+20</v>
      </c>
    </row>
    <row r="26" spans="1:21" x14ac:dyDescent="0.35">
      <c r="A26" t="s">
        <v>66</v>
      </c>
      <c r="B26" t="s">
        <v>129</v>
      </c>
      <c r="C26">
        <v>1</v>
      </c>
      <c r="D26" t="s">
        <v>97</v>
      </c>
      <c r="E26" t="s">
        <v>82</v>
      </c>
      <c r="F26" t="s">
        <v>83</v>
      </c>
      <c r="G26">
        <v>0</v>
      </c>
      <c r="H26">
        <v>2E+20</v>
      </c>
      <c r="I26">
        <v>0</v>
      </c>
      <c r="J26">
        <v>0</v>
      </c>
      <c r="K26">
        <v>0</v>
      </c>
      <c r="L26">
        <v>0</v>
      </c>
      <c r="M26" s="5" t="str">
        <f>ContinuousStatsTable[[#This Row],[ProjectName]]&amp;ContinuousStatsTable[[#This Row],[Name]]&amp;ContinuousStatsTable[[#This Row],[Type]]&amp;ContinuousStatsTable[[#This Row],[Source]]</f>
        <v>Unnamed ProjectSebze_Servis_PersoneliInstantaneous UtilizationResource</v>
      </c>
      <c r="N26" s="5">
        <f t="array" ref="N26">MAX(IF((ProjectInfoTable[ProjectName]=ContinuousStatsTable[[#This Row],[ProjectName]]),(ProjectInfoTable[ProjectName]=ContinuousStatsTable[[#This Row],[ProjectName]])*ProjectInfoTable[NumberOfReplications]))</f>
        <v>1</v>
      </c>
      <c r="O26" s="5">
        <f t="array" ref="O26">IFERROR(AVERAGE(IF((ContinuousStatsTable[GroupByKey]=ContinuousStatsTable[[#This Row],[GroupByKey]]),(ContinuousStatsTable[GroupByKey]=ContinuousStatsTable[[#This Row],[GroupByKey]])*ContinuousStatsTable[Average])),0)</f>
        <v>0</v>
      </c>
      <c r="P26" s="5">
        <f t="array" ref="P26">IFERROR(_xlfn.STDEV.S(IF((ContinuousStatsTable[GroupByKey]=ContinuousStatsTable[[#This Row],[GroupByKey]]),(ContinuousStatsTable[GroupByKey]=ContinuousStatsTable[[#This Row],[GroupByKey]])*ContinuousStatsTable[Average])),0)</f>
        <v>0</v>
      </c>
      <c r="Q26" s="5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6" s="5">
        <f t="array" ref="S26">MIN(IF((ContinuousStatsTable[GroupByKey]=ContinuousStatsTable[[#This Row],[GroupByKey]]),(ContinuousStatsTable[GroupByKey]=ContinuousStatsTable[[#This Row],[GroupByKey]])*ContinuousStatsTable[Average]))</f>
        <v>0</v>
      </c>
      <c r="T26" s="5">
        <f t="array" ref="T26">MAX(IF((ContinuousStatsTable[GroupByKey]=ContinuousStatsTable[[#This Row],[GroupByKey]]),(ContinuousStatsTable[GroupByKey]=ContinuousStatsTable[[#This Row],[GroupByKey]])*ContinuousStatsTable[Average]))</f>
        <v>0</v>
      </c>
      <c r="U26" s="5">
        <f>IF((ContinuousStatsTable[[#This Row],[RepsRequested]]&gt;1),ContinuousStatsTable[[#This Row],[HalfWidth]],ContinuousStatsTable[[#This Row],[BatchMeansHalfWidth]])</f>
        <v>2E+20</v>
      </c>
    </row>
    <row r="27" spans="1:21" x14ac:dyDescent="0.35">
      <c r="A27" t="s">
        <v>66</v>
      </c>
      <c r="B27" t="s">
        <v>129</v>
      </c>
      <c r="C27">
        <v>1</v>
      </c>
      <c r="D27" t="s">
        <v>97</v>
      </c>
      <c r="E27" t="s">
        <v>84</v>
      </c>
      <c r="F27" t="s">
        <v>83</v>
      </c>
      <c r="G27">
        <v>0</v>
      </c>
      <c r="H27">
        <v>2E+20</v>
      </c>
      <c r="I27">
        <v>0</v>
      </c>
      <c r="J27">
        <v>0</v>
      </c>
      <c r="K27">
        <v>0</v>
      </c>
      <c r="L27">
        <v>0</v>
      </c>
      <c r="M27" s="5" t="str">
        <f>ContinuousStatsTable[[#This Row],[ProjectName]]&amp;ContinuousStatsTable[[#This Row],[Name]]&amp;ContinuousStatsTable[[#This Row],[Type]]&amp;ContinuousStatsTable[[#This Row],[Source]]</f>
        <v>Unnamed ProjectSebze_Servis_PersoneliNumber BusyResource</v>
      </c>
      <c r="N27" s="5">
        <f t="array" ref="N27">MAX(IF((ProjectInfoTable[ProjectName]=ContinuousStatsTable[[#This Row],[ProjectName]]),(ProjectInfoTable[ProjectName]=ContinuousStatsTable[[#This Row],[ProjectName]])*ProjectInfoTable[NumberOfReplications]))</f>
        <v>1</v>
      </c>
      <c r="O27" s="5">
        <f t="array" ref="O27">IFERROR(AVERAGE(IF((ContinuousStatsTable[GroupByKey]=ContinuousStatsTable[[#This Row],[GroupByKey]]),(ContinuousStatsTable[GroupByKey]=ContinuousStatsTable[[#This Row],[GroupByKey]])*ContinuousStatsTable[Average])),0)</f>
        <v>0</v>
      </c>
      <c r="P27" s="5">
        <f t="array" ref="P27">IFERROR(_xlfn.STDEV.S(IF((ContinuousStatsTable[GroupByKey]=ContinuousStatsTable[[#This Row],[GroupByKey]]),(ContinuousStatsTable[GroupByKey]=ContinuousStatsTable[[#This Row],[GroupByKey]])*ContinuousStatsTable[Average])),0)</f>
        <v>0</v>
      </c>
      <c r="Q27" s="5">
        <f t="array" ref="Q27">MAX(IF((ProjectInfoTable[ProjectName]=ContinuousStatsTable[[#This Row],[ProjectName]]),(ProjectInfoTable[ProjectName]=ContinuousStatsTable[[#This Row],[ProjectName]])*ProjectInfoTable[ConfidenceInterval]))</f>
        <v>0.95</v>
      </c>
      <c r="R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7" s="5">
        <f t="array" ref="S27">MIN(IF((ContinuousStatsTable[GroupByKey]=ContinuousStatsTable[[#This Row],[GroupByKey]]),(ContinuousStatsTable[GroupByKey]=ContinuousStatsTable[[#This Row],[GroupByKey]])*ContinuousStatsTable[Average]))</f>
        <v>0</v>
      </c>
      <c r="T27" s="5">
        <f t="array" ref="T27">MAX(IF((ContinuousStatsTable[GroupByKey]=ContinuousStatsTable[[#This Row],[GroupByKey]]),(ContinuousStatsTable[GroupByKey]=ContinuousStatsTable[[#This Row],[GroupByKey]])*ContinuousStatsTable[Average]))</f>
        <v>0</v>
      </c>
      <c r="U27" s="5">
        <f>IF((ContinuousStatsTable[[#This Row],[RepsRequested]]&gt;1),ContinuousStatsTable[[#This Row],[HalfWidth]],ContinuousStatsTable[[#This Row],[BatchMeansHalfWidth]])</f>
        <v>2E+20</v>
      </c>
    </row>
    <row r="28" spans="1:21" x14ac:dyDescent="0.35">
      <c r="A28" t="s">
        <v>66</v>
      </c>
      <c r="B28" t="s">
        <v>129</v>
      </c>
      <c r="C28">
        <v>1</v>
      </c>
      <c r="D28" t="s">
        <v>97</v>
      </c>
      <c r="E28" t="s">
        <v>85</v>
      </c>
      <c r="F28" t="s">
        <v>83</v>
      </c>
      <c r="G28">
        <v>1</v>
      </c>
      <c r="H28">
        <v>2E+20</v>
      </c>
      <c r="I28">
        <v>1</v>
      </c>
      <c r="J28">
        <v>1</v>
      </c>
      <c r="K28">
        <v>1</v>
      </c>
      <c r="L28">
        <v>0</v>
      </c>
      <c r="M28" s="5" t="str">
        <f>ContinuousStatsTable[[#This Row],[ProjectName]]&amp;ContinuousStatsTable[[#This Row],[Name]]&amp;ContinuousStatsTable[[#This Row],[Type]]&amp;ContinuousStatsTable[[#This Row],[Source]]</f>
        <v>Unnamed ProjectSebze_Servis_PersoneliNumber ScheduledResource</v>
      </c>
      <c r="N28" s="5">
        <f t="array" ref="N28">MAX(IF((ProjectInfoTable[ProjectName]=ContinuousStatsTable[[#This Row],[ProjectName]]),(ProjectInfoTable[ProjectName]=ContinuousStatsTable[[#This Row],[ProjectName]])*ProjectInfoTable[NumberOfReplications]))</f>
        <v>1</v>
      </c>
      <c r="O28" s="5">
        <f t="array" ref="O28">IFERROR(AVERAGE(IF((ContinuousStatsTable[GroupByKey]=ContinuousStatsTable[[#This Row],[GroupByKey]]),(ContinuousStatsTable[GroupByKey]=ContinuousStatsTable[[#This Row],[GroupByKey]])*ContinuousStatsTable[Average])),0)</f>
        <v>1</v>
      </c>
      <c r="P28" s="5">
        <f t="array" ref="P28">IFERROR(_xlfn.STDEV.S(IF((ContinuousStatsTable[GroupByKey]=ContinuousStatsTable[[#This Row],[GroupByKey]]),(ContinuousStatsTable[GroupByKey]=ContinuousStatsTable[[#This Row],[GroupByKey]])*ContinuousStatsTable[Average])),0)</f>
        <v>0</v>
      </c>
      <c r="Q28" s="5">
        <f t="array" ref="Q28">MAX(IF((ProjectInfoTable[ProjectName]=ContinuousStatsTable[[#This Row],[ProjectName]]),(ProjectInfoTable[ProjectName]=ContinuousStatsTable[[#This Row],[ProjectName]])*ProjectInfoTable[ConfidenceInterval]))</f>
        <v>0.95</v>
      </c>
      <c r="R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8" s="5">
        <f t="array" ref="S28">MIN(IF((ContinuousStatsTable[GroupByKey]=ContinuousStatsTable[[#This Row],[GroupByKey]]),(ContinuousStatsTable[GroupByKey]=ContinuousStatsTable[[#This Row],[GroupByKey]])*ContinuousStatsTable[Average]))</f>
        <v>1</v>
      </c>
      <c r="T28" s="5">
        <f t="array" ref="T28">MAX(IF((ContinuousStatsTable[GroupByKey]=ContinuousStatsTable[[#This Row],[GroupByKey]]),(ContinuousStatsTable[GroupByKey]=ContinuousStatsTable[[#This Row],[GroupByKey]])*ContinuousStatsTable[Average]))</f>
        <v>1</v>
      </c>
      <c r="U28" s="5">
        <f>IF((ContinuousStatsTable[[#This Row],[RepsRequested]]&gt;1),ContinuousStatsTable[[#This Row],[HalfWidth]],ContinuousStatsTable[[#This Row],[BatchMeansHalfWidth]])</f>
        <v>2E+20</v>
      </c>
    </row>
    <row r="29" spans="1:21" x14ac:dyDescent="0.35">
      <c r="A29" t="s">
        <v>66</v>
      </c>
      <c r="B29" t="s">
        <v>129</v>
      </c>
      <c r="C29">
        <v>1</v>
      </c>
      <c r="D29" t="s">
        <v>98</v>
      </c>
      <c r="E29" t="s">
        <v>86</v>
      </c>
      <c r="F29" t="s">
        <v>71</v>
      </c>
      <c r="G29">
        <v>0</v>
      </c>
      <c r="H29">
        <v>2E+20</v>
      </c>
      <c r="I29">
        <v>0</v>
      </c>
      <c r="J29">
        <v>0</v>
      </c>
      <c r="K29">
        <v>0</v>
      </c>
      <c r="L29">
        <v>0</v>
      </c>
      <c r="M29" s="5" t="str">
        <f>ContinuousStatsTable[[#This Row],[ProjectName]]&amp;ContinuousStatsTable[[#This Row],[Name]]&amp;ContinuousStatsTable[[#This Row],[Type]]&amp;ContinuousStatsTable[[#This Row],[Source]]</f>
        <v>Unnamed ProjectTC_Giris_Sureci.QueueNumber WaitingQueue</v>
      </c>
      <c r="N29" s="5">
        <f t="array" ref="N29">MAX(IF((ProjectInfoTable[ProjectName]=ContinuousStatsTable[[#This Row],[ProjectName]]),(ProjectInfoTable[ProjectName]=ContinuousStatsTable[[#This Row],[ProjectName]])*ProjectInfoTable[NumberOfReplications]))</f>
        <v>1</v>
      </c>
      <c r="O29" s="5">
        <f t="array" ref="O29">IFERROR(AVERAGE(IF((ContinuousStatsTable[GroupByKey]=ContinuousStatsTable[[#This Row],[GroupByKey]]),(ContinuousStatsTable[GroupByKey]=ContinuousStatsTable[[#This Row],[GroupByKey]])*ContinuousStatsTable[Average])),0)</f>
        <v>0</v>
      </c>
      <c r="P29" s="5">
        <f t="array" ref="P29">IFERROR(_xlfn.STDEV.S(IF((ContinuousStatsTable[GroupByKey]=ContinuousStatsTable[[#This Row],[GroupByKey]]),(ContinuousStatsTable[GroupByKey]=ContinuousStatsTable[[#This Row],[GroupByKey]])*ContinuousStatsTable[Average])),0)</f>
        <v>0</v>
      </c>
      <c r="Q29" s="5">
        <f t="array" ref="Q29">MAX(IF((ProjectInfoTable[ProjectName]=ContinuousStatsTable[[#This Row],[ProjectName]]),(ProjectInfoTable[ProjectName]=ContinuousStatsTable[[#This Row],[ProjectName]])*ProjectInfoTable[ConfidenceInterval]))</f>
        <v>0.95</v>
      </c>
      <c r="R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9" s="5">
        <f t="array" ref="S29">MIN(IF((ContinuousStatsTable[GroupByKey]=ContinuousStatsTable[[#This Row],[GroupByKey]]),(ContinuousStatsTable[GroupByKey]=ContinuousStatsTable[[#This Row],[GroupByKey]])*ContinuousStatsTable[Average]))</f>
        <v>0</v>
      </c>
      <c r="T29" s="5">
        <f t="array" ref="T29">MAX(IF((ContinuousStatsTable[GroupByKey]=ContinuousStatsTable[[#This Row],[GroupByKey]]),(ContinuousStatsTable[GroupByKey]=ContinuousStatsTable[[#This Row],[GroupByKey]])*ContinuousStatsTable[Average]))</f>
        <v>0</v>
      </c>
      <c r="U29" s="5">
        <f>IF((ContinuousStatsTable[[#This Row],[RepsRequested]]&gt;1),ContinuousStatsTable[[#This Row],[HalfWidth]],ContinuousStatsTable[[#This Row],[BatchMeansHalfWidth]])</f>
        <v>2E+20</v>
      </c>
    </row>
    <row r="30" spans="1:21" x14ac:dyDescent="0.35">
      <c r="A30" t="s">
        <v>66</v>
      </c>
      <c r="B30" t="s">
        <v>129</v>
      </c>
      <c r="C30">
        <v>1</v>
      </c>
      <c r="D30" t="s">
        <v>99</v>
      </c>
      <c r="E30" t="s">
        <v>86</v>
      </c>
      <c r="F30" t="s">
        <v>71</v>
      </c>
      <c r="G30">
        <v>0</v>
      </c>
      <c r="H30">
        <v>2E+20</v>
      </c>
      <c r="I30">
        <v>0</v>
      </c>
      <c r="J30">
        <v>0</v>
      </c>
      <c r="K30">
        <v>0</v>
      </c>
      <c r="L30">
        <v>0</v>
      </c>
      <c r="M30" s="5" t="str">
        <f>ContinuousStatsTable[[#This Row],[ProjectName]]&amp;ContinuousStatsTable[[#This Row],[Name]]&amp;ContinuousStatsTable[[#This Row],[Type]]&amp;ContinuousStatsTable[[#This Row],[Source]]</f>
        <v>Unnamed ProjectTepsi_Dokme.QueueNumber WaitingQueue</v>
      </c>
      <c r="N30" s="5">
        <f t="array" ref="N30">MAX(IF((ProjectInfoTable[ProjectName]=ContinuousStatsTable[[#This Row],[ProjectName]]),(ProjectInfoTable[ProjectName]=ContinuousStatsTable[[#This Row],[ProjectName]])*ProjectInfoTable[NumberOfReplications]))</f>
        <v>1</v>
      </c>
      <c r="O30" s="5">
        <f t="array" ref="O30">IFERROR(AVERAGE(IF((ContinuousStatsTable[GroupByKey]=ContinuousStatsTable[[#This Row],[GroupByKey]]),(ContinuousStatsTable[GroupByKey]=ContinuousStatsTable[[#This Row],[GroupByKey]])*ContinuousStatsTable[Average])),0)</f>
        <v>0</v>
      </c>
      <c r="P30" s="5">
        <f t="array" ref="P30">IFERROR(_xlfn.STDEV.S(IF((ContinuousStatsTable[GroupByKey]=ContinuousStatsTable[[#This Row],[GroupByKey]]),(ContinuousStatsTable[GroupByKey]=ContinuousStatsTable[[#This Row],[GroupByKey]])*ContinuousStatsTable[Average])),0)</f>
        <v>0</v>
      </c>
      <c r="Q30" s="5">
        <f t="array" ref="Q30">MAX(IF((ProjectInfoTable[ProjectName]=ContinuousStatsTable[[#This Row],[ProjectName]]),(ProjectInfoTable[ProjectName]=ContinuousStatsTable[[#This Row],[ProjectName]])*ProjectInfoTable[ConfidenceInterval]))</f>
        <v>0.95</v>
      </c>
      <c r="R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0" s="5">
        <f t="array" ref="S30">MIN(IF((ContinuousStatsTable[GroupByKey]=ContinuousStatsTable[[#This Row],[GroupByKey]]),(ContinuousStatsTable[GroupByKey]=ContinuousStatsTable[[#This Row],[GroupByKey]])*ContinuousStatsTable[Average]))</f>
        <v>0</v>
      </c>
      <c r="T30" s="5">
        <f t="array" ref="T30">MAX(IF((ContinuousStatsTable[GroupByKey]=ContinuousStatsTable[[#This Row],[GroupByKey]]),(ContinuousStatsTable[GroupByKey]=ContinuousStatsTable[[#This Row],[GroupByKey]])*ContinuousStatsTable[Average]))</f>
        <v>0</v>
      </c>
      <c r="U30" s="5">
        <f>IF((ContinuousStatsTable[[#This Row],[RepsRequested]]&gt;1),ContinuousStatsTable[[#This Row],[HalfWidth]],ContinuousStatsTable[[#This Row],[BatchMeansHalfWidth]])</f>
        <v>2E+20</v>
      </c>
    </row>
    <row r="31" spans="1:21" x14ac:dyDescent="0.35">
      <c r="A31" t="s">
        <v>66</v>
      </c>
      <c r="B31" t="s">
        <v>129</v>
      </c>
      <c r="C31">
        <v>1</v>
      </c>
      <c r="D31" t="s">
        <v>100</v>
      </c>
      <c r="E31" t="s">
        <v>86</v>
      </c>
      <c r="F31" t="s">
        <v>71</v>
      </c>
      <c r="G31">
        <v>0</v>
      </c>
      <c r="H31">
        <v>2E+20</v>
      </c>
      <c r="I31">
        <v>0</v>
      </c>
      <c r="J31">
        <v>0</v>
      </c>
      <c r="K31">
        <v>0</v>
      </c>
      <c r="L31">
        <v>0</v>
      </c>
      <c r="M31" s="5" t="str">
        <f>ContinuousStatsTable[[#This Row],[ProjectName]]&amp;ContinuousStatsTable[[#This Row],[Name]]&amp;ContinuousStatsTable[[#This Row],[Type]]&amp;ContinuousStatsTable[[#This Row],[Source]]</f>
        <v>Unnamed ProjectTost_Siparisi.QueueNumber WaitingQueue</v>
      </c>
      <c r="N31" s="5">
        <f t="array" ref="N31">MAX(IF((ProjectInfoTable[ProjectName]=ContinuousStatsTable[[#This Row],[ProjectName]]),(ProjectInfoTable[ProjectName]=ContinuousStatsTable[[#This Row],[ProjectName]])*ProjectInfoTable[NumberOfReplications]))</f>
        <v>1</v>
      </c>
      <c r="O31" s="5">
        <f t="array" ref="O31">IFERROR(AVERAGE(IF((ContinuousStatsTable[GroupByKey]=ContinuousStatsTable[[#This Row],[GroupByKey]]),(ContinuousStatsTable[GroupByKey]=ContinuousStatsTable[[#This Row],[GroupByKey]])*ContinuousStatsTable[Average])),0)</f>
        <v>0</v>
      </c>
      <c r="P31" s="5">
        <f t="array" ref="P31">IFERROR(_xlfn.STDEV.S(IF((ContinuousStatsTable[GroupByKey]=ContinuousStatsTable[[#This Row],[GroupByKey]]),(ContinuousStatsTable[GroupByKey]=ContinuousStatsTable[[#This Row],[GroupByKey]])*ContinuousStatsTable[Average])),0)</f>
        <v>0</v>
      </c>
      <c r="Q31" s="5">
        <f t="array" ref="Q31">MAX(IF((ProjectInfoTable[ProjectName]=ContinuousStatsTable[[#This Row],[ProjectName]]),(ProjectInfoTable[ProjectName]=ContinuousStatsTable[[#This Row],[ProjectName]])*ProjectInfoTable[ConfidenceInterval]))</f>
        <v>0.95</v>
      </c>
      <c r="R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1" s="5">
        <f t="array" ref="S31">MIN(IF((ContinuousStatsTable[GroupByKey]=ContinuousStatsTable[[#This Row],[GroupByKey]]),(ContinuousStatsTable[GroupByKey]=ContinuousStatsTable[[#This Row],[GroupByKey]])*ContinuousStatsTable[Average]))</f>
        <v>0</v>
      </c>
      <c r="T31" s="5">
        <f t="array" ref="T31">MAX(IF((ContinuousStatsTable[GroupByKey]=ContinuousStatsTable[[#This Row],[GroupByKey]]),(ContinuousStatsTable[GroupByKey]=ContinuousStatsTable[[#This Row],[GroupByKey]])*ContinuousStatsTable[Average]))</f>
        <v>0</v>
      </c>
      <c r="U31" s="5">
        <f>IF((ContinuousStatsTable[[#This Row],[RepsRequested]]&gt;1),ContinuousStatsTable[[#This Row],[HalfWidth]],ContinuousStatsTable[[#This Row],[BatchMeansHalfWidth]])</f>
        <v>2E+20</v>
      </c>
    </row>
    <row r="32" spans="1:21" x14ac:dyDescent="0.35">
      <c r="A32" t="s">
        <v>66</v>
      </c>
      <c r="B32" t="s">
        <v>129</v>
      </c>
      <c r="C32">
        <v>1</v>
      </c>
      <c r="D32" t="s">
        <v>101</v>
      </c>
      <c r="E32" t="s">
        <v>86</v>
      </c>
      <c r="F32" t="s">
        <v>71</v>
      </c>
      <c r="G32">
        <v>0</v>
      </c>
      <c r="H32">
        <v>2E+20</v>
      </c>
      <c r="I32">
        <v>0</v>
      </c>
      <c r="J32">
        <v>0</v>
      </c>
      <c r="K32">
        <v>0</v>
      </c>
      <c r="L32">
        <v>0</v>
      </c>
      <c r="M32" s="5" t="str">
        <f>ContinuousStatsTable[[#This Row],[ProjectName]]&amp;ContinuousStatsTable[[#This Row],[Name]]&amp;ContinuousStatsTable[[#This Row],[Type]]&amp;ContinuousStatsTable[[#This Row],[Source]]</f>
        <v>Unnamed Projectkahve_servis.QueueNumber WaitingQueue</v>
      </c>
      <c r="N32" s="5">
        <f t="array" ref="N32">MAX(IF((ProjectInfoTable[ProjectName]=ContinuousStatsTable[[#This Row],[ProjectName]]),(ProjectInfoTable[ProjectName]=ContinuousStatsTable[[#This Row],[ProjectName]])*ProjectInfoTable[NumberOfReplications]))</f>
        <v>1</v>
      </c>
      <c r="O32" s="5">
        <f t="array" ref="O32">IFERROR(AVERAGE(IF((ContinuousStatsTable[GroupByKey]=ContinuousStatsTable[[#This Row],[GroupByKey]]),(ContinuousStatsTable[GroupByKey]=ContinuousStatsTable[[#This Row],[GroupByKey]])*ContinuousStatsTable[Average])),0)</f>
        <v>0</v>
      </c>
      <c r="P32" s="5">
        <f t="array" ref="P32">IFERROR(_xlfn.STDEV.S(IF((ContinuousStatsTable[GroupByKey]=ContinuousStatsTable[[#This Row],[GroupByKey]]),(ContinuousStatsTable[GroupByKey]=ContinuousStatsTable[[#This Row],[GroupByKey]])*ContinuousStatsTable[Average])),0)</f>
        <v>0</v>
      </c>
      <c r="Q32" s="5">
        <f t="array" ref="Q32">MAX(IF((ProjectInfoTable[ProjectName]=ContinuousStatsTable[[#This Row],[ProjectName]]),(ProjectInfoTable[ProjectName]=ContinuousStatsTable[[#This Row],[ProjectName]])*ProjectInfoTable[ConfidenceInterval]))</f>
        <v>0.95</v>
      </c>
      <c r="R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2" s="5">
        <f t="array" ref="S32">MIN(IF((ContinuousStatsTable[GroupByKey]=ContinuousStatsTable[[#This Row],[GroupByKey]]),(ContinuousStatsTable[GroupByKey]=ContinuousStatsTable[[#This Row],[GroupByKey]])*ContinuousStatsTable[Average]))</f>
        <v>0</v>
      </c>
      <c r="T32" s="5">
        <f t="array" ref="T32">MAX(IF((ContinuousStatsTable[GroupByKey]=ContinuousStatsTable[[#This Row],[GroupByKey]]),(ContinuousStatsTable[GroupByKey]=ContinuousStatsTable[[#This Row],[GroupByKey]])*ContinuousStatsTable[Average]))</f>
        <v>0</v>
      </c>
      <c r="U32" s="5">
        <f>IF((ContinuousStatsTable[[#This Row],[RepsRequested]]&gt;1),ContinuousStatsTable[[#This Row],[HalfWidth]],ContinuousStatsTable[[#This Row],[BatchMeansHalfWidth]])</f>
        <v>2E+20</v>
      </c>
    </row>
    <row r="33" spans="1:21" x14ac:dyDescent="0.35">
      <c r="A33" t="s">
        <v>66</v>
      </c>
      <c r="B33" t="s">
        <v>129</v>
      </c>
      <c r="C33">
        <v>1</v>
      </c>
      <c r="D33" t="s">
        <v>102</v>
      </c>
      <c r="E33" t="s">
        <v>86</v>
      </c>
      <c r="F33" t="s">
        <v>71</v>
      </c>
      <c r="G33">
        <v>0</v>
      </c>
      <c r="H33">
        <v>2E+20</v>
      </c>
      <c r="I33">
        <v>0</v>
      </c>
      <c r="J33">
        <v>0</v>
      </c>
      <c r="K33">
        <v>0</v>
      </c>
      <c r="L33">
        <v>0</v>
      </c>
      <c r="M33" s="5" t="str">
        <f>ContinuousStatsTable[[#This Row],[ProjectName]]&amp;ContinuousStatsTable[[#This Row],[Name]]&amp;ContinuousStatsTable[[#This Row],[Type]]&amp;ContinuousStatsTable[[#This Row],[Source]]</f>
        <v>Unnamed Projectsabir.QueueNumber WaitingQueue</v>
      </c>
      <c r="N33" s="5">
        <f t="array" ref="N33">MAX(IF((ProjectInfoTable[ProjectName]=ContinuousStatsTable[[#This Row],[ProjectName]]),(ProjectInfoTable[ProjectName]=ContinuousStatsTable[[#This Row],[ProjectName]])*ProjectInfoTable[NumberOfReplications]))</f>
        <v>1</v>
      </c>
      <c r="O33" s="5">
        <f t="array" ref="O33">IFERROR(AVERAGE(IF((ContinuousStatsTable[GroupByKey]=ContinuousStatsTable[[#This Row],[GroupByKey]]),(ContinuousStatsTable[GroupByKey]=ContinuousStatsTable[[#This Row],[GroupByKey]])*ContinuousStatsTable[Average])),0)</f>
        <v>0</v>
      </c>
      <c r="P33" s="5">
        <f t="array" ref="P33">IFERROR(_xlfn.STDEV.S(IF((ContinuousStatsTable[GroupByKey]=ContinuousStatsTable[[#This Row],[GroupByKey]]),(ContinuousStatsTable[GroupByKey]=ContinuousStatsTable[[#This Row],[GroupByKey]])*ContinuousStatsTable[Average])),0)</f>
        <v>0</v>
      </c>
      <c r="Q33" s="5">
        <f t="array" ref="Q33">MAX(IF((ProjectInfoTable[ProjectName]=ContinuousStatsTable[[#This Row],[ProjectName]]),(ProjectInfoTable[ProjectName]=ContinuousStatsTable[[#This Row],[ProjectName]])*ProjectInfoTable[ConfidenceInterval]))</f>
        <v>0.95</v>
      </c>
      <c r="R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3" s="5">
        <f t="array" ref="S33">MIN(IF((ContinuousStatsTable[GroupByKey]=ContinuousStatsTable[[#This Row],[GroupByKey]]),(ContinuousStatsTable[GroupByKey]=ContinuousStatsTable[[#This Row],[GroupByKey]])*ContinuousStatsTable[Average]))</f>
        <v>0</v>
      </c>
      <c r="T33" s="5">
        <f t="array" ref="T33">MAX(IF((ContinuousStatsTable[GroupByKey]=ContinuousStatsTable[[#This Row],[GroupByKey]]),(ContinuousStatsTable[GroupByKey]=ContinuousStatsTable[[#This Row],[GroupByKey]])*ContinuousStatsTable[Average]))</f>
        <v>0</v>
      </c>
      <c r="U33" s="5">
        <f>IF((ContinuousStatsTable[[#This Row],[RepsRequested]]&gt;1),ContinuousStatsTable[[#This Row],[HalfWidth]],ContinuousStatsTable[[#This Row],[BatchMeansHalfWidth]])</f>
        <v>2E+20</v>
      </c>
    </row>
    <row r="34" spans="1:21" x14ac:dyDescent="0.35">
      <c r="A34" t="s">
        <v>66</v>
      </c>
      <c r="B34" t="s">
        <v>129</v>
      </c>
      <c r="C34">
        <v>1</v>
      </c>
      <c r="D34" t="s">
        <v>103</v>
      </c>
      <c r="E34" t="s">
        <v>82</v>
      </c>
      <c r="F34" t="s">
        <v>83</v>
      </c>
      <c r="G34">
        <v>0</v>
      </c>
      <c r="H34">
        <v>2E+20</v>
      </c>
      <c r="I34">
        <v>0</v>
      </c>
      <c r="J34">
        <v>0</v>
      </c>
      <c r="K34">
        <v>0</v>
      </c>
      <c r="L34">
        <v>0</v>
      </c>
      <c r="M34" s="5" t="str">
        <f>ContinuousStatsTable[[#This Row],[ProjectName]]&amp;ContinuousStatsTable[[#This Row],[Name]]&amp;ContinuousStatsTable[[#This Row],[Type]]&amp;ContinuousStatsTable[[#This Row],[Source]]</f>
        <v>Unnamed Projectsandaye ve masaInstantaneous UtilizationResource</v>
      </c>
      <c r="N34" s="5">
        <f t="array" ref="N34">MAX(IF((ProjectInfoTable[ProjectName]=ContinuousStatsTable[[#This Row],[ProjectName]]),(ProjectInfoTable[ProjectName]=ContinuousStatsTable[[#This Row],[ProjectName]])*ProjectInfoTable[NumberOfReplications]))</f>
        <v>1</v>
      </c>
      <c r="O34" s="5">
        <f t="array" ref="O34">IFERROR(AVERAGE(IF((ContinuousStatsTable[GroupByKey]=ContinuousStatsTable[[#This Row],[GroupByKey]]),(ContinuousStatsTable[GroupByKey]=ContinuousStatsTable[[#This Row],[GroupByKey]])*ContinuousStatsTable[Average])),0)</f>
        <v>0</v>
      </c>
      <c r="P34" s="5">
        <f t="array" ref="P34">IFERROR(_xlfn.STDEV.S(IF((ContinuousStatsTable[GroupByKey]=ContinuousStatsTable[[#This Row],[GroupByKey]]),(ContinuousStatsTable[GroupByKey]=ContinuousStatsTable[[#This Row],[GroupByKey]])*ContinuousStatsTable[Average])),0)</f>
        <v>0</v>
      </c>
      <c r="Q34" s="5">
        <f t="array" ref="Q34">MAX(IF((ProjectInfoTable[ProjectName]=ContinuousStatsTable[[#This Row],[ProjectName]]),(ProjectInfoTable[ProjectName]=ContinuousStatsTable[[#This Row],[ProjectName]])*ProjectInfoTable[ConfidenceInterval]))</f>
        <v>0.95</v>
      </c>
      <c r="R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4" s="5">
        <f t="array" ref="S34">MIN(IF((ContinuousStatsTable[GroupByKey]=ContinuousStatsTable[[#This Row],[GroupByKey]]),(ContinuousStatsTable[GroupByKey]=ContinuousStatsTable[[#This Row],[GroupByKey]])*ContinuousStatsTable[Average]))</f>
        <v>0</v>
      </c>
      <c r="T34" s="5">
        <f t="array" ref="T34">MAX(IF((ContinuousStatsTable[GroupByKey]=ContinuousStatsTable[[#This Row],[GroupByKey]]),(ContinuousStatsTable[GroupByKey]=ContinuousStatsTable[[#This Row],[GroupByKey]])*ContinuousStatsTable[Average]))</f>
        <v>0</v>
      </c>
      <c r="U34" s="5">
        <f>IF((ContinuousStatsTable[[#This Row],[RepsRequested]]&gt;1),ContinuousStatsTable[[#This Row],[HalfWidth]],ContinuousStatsTable[[#This Row],[BatchMeansHalfWidth]])</f>
        <v>2E+20</v>
      </c>
    </row>
    <row r="35" spans="1:21" x14ac:dyDescent="0.35">
      <c r="A35" t="s">
        <v>66</v>
      </c>
      <c r="B35" t="s">
        <v>129</v>
      </c>
      <c r="C35">
        <v>1</v>
      </c>
      <c r="D35" t="s">
        <v>103</v>
      </c>
      <c r="E35" t="s">
        <v>84</v>
      </c>
      <c r="F35" t="s">
        <v>83</v>
      </c>
      <c r="G35">
        <v>0</v>
      </c>
      <c r="H35">
        <v>2E+20</v>
      </c>
      <c r="I35">
        <v>0</v>
      </c>
      <c r="J35">
        <v>0</v>
      </c>
      <c r="K35">
        <v>0</v>
      </c>
      <c r="L35">
        <v>0</v>
      </c>
      <c r="M35" s="5" t="str">
        <f>ContinuousStatsTable[[#This Row],[ProjectName]]&amp;ContinuousStatsTable[[#This Row],[Name]]&amp;ContinuousStatsTable[[#This Row],[Type]]&amp;ContinuousStatsTable[[#This Row],[Source]]</f>
        <v>Unnamed Projectsandaye ve masaNumber BusyResource</v>
      </c>
      <c r="N35" s="5">
        <f t="array" ref="N35">MAX(IF((ProjectInfoTable[ProjectName]=ContinuousStatsTable[[#This Row],[ProjectName]]),(ProjectInfoTable[ProjectName]=ContinuousStatsTable[[#This Row],[ProjectName]])*ProjectInfoTable[NumberOfReplications]))</f>
        <v>1</v>
      </c>
      <c r="O35" s="5">
        <f t="array" ref="O35">IFERROR(AVERAGE(IF((ContinuousStatsTable[GroupByKey]=ContinuousStatsTable[[#This Row],[GroupByKey]]),(ContinuousStatsTable[GroupByKey]=ContinuousStatsTable[[#This Row],[GroupByKey]])*ContinuousStatsTable[Average])),0)</f>
        <v>0</v>
      </c>
      <c r="P35" s="5">
        <f t="array" ref="P35">IFERROR(_xlfn.STDEV.S(IF((ContinuousStatsTable[GroupByKey]=ContinuousStatsTable[[#This Row],[GroupByKey]]),(ContinuousStatsTable[GroupByKey]=ContinuousStatsTable[[#This Row],[GroupByKey]])*ContinuousStatsTable[Average])),0)</f>
        <v>0</v>
      </c>
      <c r="Q35" s="5">
        <f t="array" ref="Q35">MAX(IF((ProjectInfoTable[ProjectName]=ContinuousStatsTable[[#This Row],[ProjectName]]),(ProjectInfoTable[ProjectName]=ContinuousStatsTable[[#This Row],[ProjectName]])*ProjectInfoTable[ConfidenceInterval]))</f>
        <v>0.95</v>
      </c>
      <c r="R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5" s="5">
        <f t="array" ref="S35">MIN(IF((ContinuousStatsTable[GroupByKey]=ContinuousStatsTable[[#This Row],[GroupByKey]]),(ContinuousStatsTable[GroupByKey]=ContinuousStatsTable[[#This Row],[GroupByKey]])*ContinuousStatsTable[Average]))</f>
        <v>0</v>
      </c>
      <c r="T35" s="5">
        <f t="array" ref="T35">MAX(IF((ContinuousStatsTable[GroupByKey]=ContinuousStatsTable[[#This Row],[GroupByKey]]),(ContinuousStatsTable[GroupByKey]=ContinuousStatsTable[[#This Row],[GroupByKey]])*ContinuousStatsTable[Average]))</f>
        <v>0</v>
      </c>
      <c r="U35" s="5">
        <f>IF((ContinuousStatsTable[[#This Row],[RepsRequested]]&gt;1),ContinuousStatsTable[[#This Row],[HalfWidth]],ContinuousStatsTable[[#This Row],[BatchMeansHalfWidth]])</f>
        <v>2E+20</v>
      </c>
    </row>
    <row r="36" spans="1:21" x14ac:dyDescent="0.35">
      <c r="A36" t="s">
        <v>66</v>
      </c>
      <c r="B36" t="s">
        <v>129</v>
      </c>
      <c r="C36">
        <v>1</v>
      </c>
      <c r="D36" t="s">
        <v>103</v>
      </c>
      <c r="E36" t="s">
        <v>85</v>
      </c>
      <c r="F36" t="s">
        <v>83</v>
      </c>
      <c r="G36">
        <v>2000</v>
      </c>
      <c r="H36">
        <v>2E+20</v>
      </c>
      <c r="I36">
        <v>2000</v>
      </c>
      <c r="J36">
        <v>2000</v>
      </c>
      <c r="K36">
        <v>2000</v>
      </c>
      <c r="L36">
        <v>0</v>
      </c>
      <c r="M36" s="5" t="str">
        <f>ContinuousStatsTable[[#This Row],[ProjectName]]&amp;ContinuousStatsTable[[#This Row],[Name]]&amp;ContinuousStatsTable[[#This Row],[Type]]&amp;ContinuousStatsTable[[#This Row],[Source]]</f>
        <v>Unnamed Projectsandaye ve masaNumber ScheduledResource</v>
      </c>
      <c r="N36" s="5">
        <f t="array" ref="N36">MAX(IF((ProjectInfoTable[ProjectName]=ContinuousStatsTable[[#This Row],[ProjectName]]),(ProjectInfoTable[ProjectName]=ContinuousStatsTable[[#This Row],[ProjectName]])*ProjectInfoTable[NumberOfReplications]))</f>
        <v>1</v>
      </c>
      <c r="O36" s="5">
        <f t="array" ref="O36">IFERROR(AVERAGE(IF((ContinuousStatsTable[GroupByKey]=ContinuousStatsTable[[#This Row],[GroupByKey]]),(ContinuousStatsTable[GroupByKey]=ContinuousStatsTable[[#This Row],[GroupByKey]])*ContinuousStatsTable[Average])),0)</f>
        <v>2000</v>
      </c>
      <c r="P36" s="5">
        <f t="array" ref="P36">IFERROR(_xlfn.STDEV.S(IF((ContinuousStatsTable[GroupByKey]=ContinuousStatsTable[[#This Row],[GroupByKey]]),(ContinuousStatsTable[GroupByKey]=ContinuousStatsTable[[#This Row],[GroupByKey]])*ContinuousStatsTable[Average])),0)</f>
        <v>0</v>
      </c>
      <c r="Q36" s="5">
        <f t="array" ref="Q36">MAX(IF((ProjectInfoTable[ProjectName]=ContinuousStatsTable[[#This Row],[ProjectName]]),(ProjectInfoTable[ProjectName]=ContinuousStatsTable[[#This Row],[ProjectName]])*ProjectInfoTable[ConfidenceInterval]))</f>
        <v>0.95</v>
      </c>
      <c r="R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6" s="5">
        <f t="array" ref="S36">MIN(IF((ContinuousStatsTable[GroupByKey]=ContinuousStatsTable[[#This Row],[GroupByKey]]),(ContinuousStatsTable[GroupByKey]=ContinuousStatsTable[[#This Row],[GroupByKey]])*ContinuousStatsTable[Average]))</f>
        <v>2000</v>
      </c>
      <c r="T36" s="5">
        <f t="array" ref="T36">MAX(IF((ContinuousStatsTable[GroupByKey]=ContinuousStatsTable[[#This Row],[GroupByKey]]),(ContinuousStatsTable[GroupByKey]=ContinuousStatsTable[[#This Row],[GroupByKey]])*ContinuousStatsTable[Average]))</f>
        <v>2000</v>
      </c>
      <c r="U36" s="5">
        <f>IF((ContinuousStatsTable[[#This Row],[RepsRequested]]&gt;1),ContinuousStatsTable[[#This Row],[HalfWidth]],ContinuousStatsTable[[#This Row],[BatchMeansHalfWidth]])</f>
        <v>2E+20</v>
      </c>
    </row>
    <row r="37" spans="1:21" x14ac:dyDescent="0.35">
      <c r="A37" t="s">
        <v>66</v>
      </c>
      <c r="B37" t="s">
        <v>129</v>
      </c>
      <c r="C37">
        <v>1</v>
      </c>
      <c r="D37" t="s">
        <v>80</v>
      </c>
      <c r="E37" t="s">
        <v>86</v>
      </c>
      <c r="F37" t="s">
        <v>71</v>
      </c>
      <c r="G37">
        <v>0</v>
      </c>
      <c r="H37">
        <v>2E+20</v>
      </c>
      <c r="I37">
        <v>0</v>
      </c>
      <c r="J37">
        <v>0</v>
      </c>
      <c r="K37">
        <v>0</v>
      </c>
      <c r="L37">
        <v>0</v>
      </c>
      <c r="M37" s="5" t="str">
        <f>ContinuousStatsTable[[#This Row],[ProjectName]]&amp;ContinuousStatsTable[[#This Row],[Name]]&amp;ContinuousStatsTable[[#This Row],[Type]]&amp;ContinuousStatsTable[[#This Row],[Source]]</f>
        <v>Unnamed Projectyemekhane_girisine_kapasite.QueueNumber WaitingQueue</v>
      </c>
      <c r="N37" s="5">
        <f t="array" ref="N37">MAX(IF((ProjectInfoTable[ProjectName]=ContinuousStatsTable[[#This Row],[ProjectName]]),(ProjectInfoTable[ProjectName]=ContinuousStatsTable[[#This Row],[ProjectName]])*ProjectInfoTable[NumberOfReplications]))</f>
        <v>1</v>
      </c>
      <c r="O37" s="5">
        <f t="array" ref="O37">IFERROR(AVERAGE(IF((ContinuousStatsTable[GroupByKey]=ContinuousStatsTable[[#This Row],[GroupByKey]]),(ContinuousStatsTable[GroupByKey]=ContinuousStatsTable[[#This Row],[GroupByKey]])*ContinuousStatsTable[Average])),0)</f>
        <v>0</v>
      </c>
      <c r="P37" s="5">
        <f t="array" ref="P37">IFERROR(_xlfn.STDEV.S(IF((ContinuousStatsTable[GroupByKey]=ContinuousStatsTable[[#This Row],[GroupByKey]]),(ContinuousStatsTable[GroupByKey]=ContinuousStatsTable[[#This Row],[GroupByKey]])*ContinuousStatsTable[Average])),0)</f>
        <v>0</v>
      </c>
      <c r="Q37" s="5">
        <f t="array" ref="Q37">MAX(IF((ProjectInfoTable[ProjectName]=ContinuousStatsTable[[#This Row],[ProjectName]]),(ProjectInfoTable[ProjectName]=ContinuousStatsTable[[#This Row],[ProjectName]])*ProjectInfoTable[ConfidenceInterval]))</f>
        <v>0.95</v>
      </c>
      <c r="R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7" s="5">
        <f t="array" ref="S37">MIN(IF((ContinuousStatsTable[GroupByKey]=ContinuousStatsTable[[#This Row],[GroupByKey]]),(ContinuousStatsTable[GroupByKey]=ContinuousStatsTable[[#This Row],[GroupByKey]])*ContinuousStatsTable[Average]))</f>
        <v>0</v>
      </c>
      <c r="T37" s="5">
        <f t="array" ref="T37">MAX(IF((ContinuousStatsTable[GroupByKey]=ContinuousStatsTable[[#This Row],[GroupByKey]]),(ContinuousStatsTable[GroupByKey]=ContinuousStatsTable[[#This Row],[GroupByKey]])*ContinuousStatsTable[Average]))</f>
        <v>0</v>
      </c>
      <c r="U37" s="5">
        <f>IF((ContinuousStatsTable[[#This Row],[RepsRequested]]&gt;1),ContinuousStatsTable[[#This Row],[HalfWidth]],ContinuousStatsTable[[#This Row],[BatchMeansHalfWidth]])</f>
        <v>2E+20</v>
      </c>
    </row>
  </sheetData>
  <phoneticPr fontId="2" type="noConversion"/>
  <conditionalFormatting sqref="H2:H37">
    <cfRule type="expression" dxfId="20" priority="9">
      <formula>H2=200000000000000000000</formula>
    </cfRule>
  </conditionalFormatting>
  <conditionalFormatting sqref="H2:H37">
    <cfRule type="expression" dxfId="19" priority="7">
      <formula>H2=300000000000000000000</formula>
    </cfRule>
  </conditionalFormatting>
  <conditionalFormatting sqref="M2:U37">
    <cfRule type="expression" dxfId="18" priority="5">
      <formula>MOD(ROW(),2)=0</formula>
    </cfRule>
  </conditionalFormatting>
  <conditionalFormatting sqref="U2:U37">
    <cfRule type="expression" dxfId="17" priority="3">
      <formula>U2=200000000000000000000</formula>
    </cfRule>
    <cfRule type="expression" dxfId="16" priority="4">
      <formula>U2=300000000000000000000</formula>
    </cfRule>
  </conditionalFormatting>
  <conditionalFormatting sqref="R2:R37 U2:U37">
    <cfRule type="expression" dxfId="15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1"/>
  <sheetViews>
    <sheetView workbookViewId="0">
      <selection activeCell="G2" sqref="G2"/>
    </sheetView>
  </sheetViews>
  <sheetFormatPr defaultRowHeight="14.5" x14ac:dyDescent="0.35"/>
  <cols>
    <col min="1" max="1" width="14" bestFit="1" customWidth="1"/>
    <col min="2" max="2" width="21.08984375" bestFit="1" customWidth="1"/>
    <col min="3" max="3" width="12.36328125" bestFit="1" customWidth="1"/>
    <col min="4" max="4" width="8" bestFit="1" customWidth="1"/>
    <col min="5" max="5" width="7.08984375" bestFit="1" customWidth="1"/>
    <col min="6" max="6" width="8.7265625" bestFit="1" customWidth="1"/>
    <col min="7" max="7" width="15.81640625" bestFit="1" customWidth="1"/>
    <col min="8" max="8" width="13.36328125" bestFit="1" customWidth="1"/>
    <col min="9" max="9" width="16.08984375" bestFit="1" customWidth="1"/>
    <col min="10" max="10" width="9.81640625" bestFit="1" customWidth="1"/>
    <col min="11" max="11" width="18.81640625" bestFit="1" customWidth="1"/>
    <col min="12" max="12" width="19" bestFit="1" customWidth="1"/>
    <col min="13" max="13" width="11.6328125" bestFit="1" customWidth="1"/>
    <col min="14" max="14" width="11.1796875" bestFit="1" customWidth="1"/>
    <col min="15" max="15" width="11.54296875" bestFit="1" customWidth="1"/>
  </cols>
  <sheetData>
    <row r="1" spans="1:15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14" priority="2">
      <formula>MOD(ROW(),2)=0</formula>
    </cfRule>
  </conditionalFormatting>
  <conditionalFormatting sqref="M2">
    <cfRule type="expression" dxfId="13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P20"/>
  <sheetViews>
    <sheetView workbookViewId="0">
      <selection activeCell="A2" sqref="A2:H31"/>
    </sheetView>
  </sheetViews>
  <sheetFormatPr defaultRowHeight="14.5" x14ac:dyDescent="0.35"/>
  <cols>
    <col min="1" max="1" width="15.26953125" customWidth="1"/>
    <col min="2" max="2" width="21.08984375" customWidth="1"/>
    <col min="3" max="3" width="12.36328125" customWidth="1"/>
    <col min="4" max="4" width="38.1796875" bestFit="1" customWidth="1"/>
    <col min="5" max="5" width="18.36328125" bestFit="1" customWidth="1"/>
    <col min="6" max="6" width="8.7265625" customWidth="1"/>
    <col min="7" max="7" width="15.81640625" customWidth="1"/>
    <col min="8" max="8" width="11.1796875" customWidth="1"/>
    <col min="9" max="9" width="78.453125" bestFit="1" customWidth="1"/>
    <col min="10" max="10" width="16.08984375" customWidth="1"/>
    <col min="11" max="11" width="9.81640625" customWidth="1"/>
    <col min="12" max="12" width="18.81640625" customWidth="1"/>
    <col min="13" max="13" width="19" customWidth="1"/>
    <col min="14" max="14" width="11.6328125" bestFit="1" customWidth="1"/>
    <col min="15" max="15" width="11.1796875" customWidth="1"/>
    <col min="16" max="16" width="11.54296875" customWidth="1"/>
  </cols>
  <sheetData>
    <row r="1" spans="1:16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5">
      <c r="A2" t="s">
        <v>66</v>
      </c>
      <c r="B2" t="s">
        <v>129</v>
      </c>
      <c r="C2">
        <v>1</v>
      </c>
      <c r="D2" t="s">
        <v>104</v>
      </c>
      <c r="E2" t="s">
        <v>105</v>
      </c>
      <c r="F2" t="s">
        <v>83</v>
      </c>
      <c r="G2">
        <v>0</v>
      </c>
      <c r="H2">
        <v>0</v>
      </c>
      <c r="I2" t="str">
        <f>OutputTable[[#This Row],[ProjectName]]&amp;OutputTable[[#This Row],[Name]]&amp;OutputTable[[#This Row],[Type]]&amp;OutputTable[[#This Row],[Source]]</f>
        <v>Unnamed ProjectCop_Kovasi_Alani.NumberSeizedTotal Number SeizedResource</v>
      </c>
      <c r="J2">
        <f t="array" ref="J2">MAX(IF((ProjectInfoTable[ProjectName]=OutputTable[[#This Row],[ProjectName]]),(ProjectInfoTable[ProjectName]=OutputTable[[#This Row],[ProjectName]])*ProjectInfoTable[NumberOfReplications]))</f>
        <v>1</v>
      </c>
      <c r="K2">
        <f t="array" ref="K2">IFERROR(AVERAGE(IF((OutputTable[GroupByKey]=OutputTable[[#This Row],[GroupByKey]]),(OutputTable[GroupByKey]=OutputTable[[#This Row],[GroupByKey]])*OutputTable[RecordedValue])),0)</f>
        <v>0</v>
      </c>
      <c r="L2">
        <f t="array" ref="L2">IFERROR(_xlfn.STDEV.S(IF((OutputTable[GroupByKey]=OutputTable[[#This Row],[GroupByKey]]),(OutputTable[GroupByKey]=OutputTable[[#This Row],[GroupByKey]])*OutputTable[RecordedValue])),0)</f>
        <v>0</v>
      </c>
      <c r="M2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">
        <f t="array" ref="O2">MIN(IF((OutputTable[GroupByKey]=OutputTable[[#This Row],[GroupByKey]]),(OutputTable[GroupByKey]=OutputTable[[#This Row],[GroupByKey]])*OutputTable[RecordedValue]))</f>
        <v>0</v>
      </c>
      <c r="P2">
        <f t="array" ref="P2">MAX(IF((OutputTable[GroupByKey]=OutputTable[[#This Row],[GroupByKey]]),(OutputTable[GroupByKey]=OutputTable[[#This Row],[GroupByKey]])*OutputTable[RecordedValue]))</f>
        <v>0</v>
      </c>
    </row>
    <row r="3" spans="1:16" x14ac:dyDescent="0.35">
      <c r="A3" t="s">
        <v>66</v>
      </c>
      <c r="B3" t="s">
        <v>129</v>
      </c>
      <c r="C3">
        <v>1</v>
      </c>
      <c r="D3" t="s">
        <v>106</v>
      </c>
      <c r="E3" t="s">
        <v>107</v>
      </c>
      <c r="F3" t="s">
        <v>83</v>
      </c>
      <c r="G3">
        <v>0</v>
      </c>
      <c r="H3">
        <v>0</v>
      </c>
      <c r="I3" t="str">
        <f>OutputTable[[#This Row],[ProjectName]]&amp;OutputTable[[#This Row],[Name]]&amp;OutputTable[[#This Row],[Type]]&amp;OutputTable[[#This Row],[Source]]</f>
        <v>Unnamed ProjectCop_Kovasi_Alani.ScheduledUtilizationScheduled UtilizationResource</v>
      </c>
      <c r="J3">
        <f t="array" ref="J3">MAX(IF((ProjectInfoTable[ProjectName]=OutputTable[[#This Row],[ProjectName]]),(ProjectInfoTable[ProjectName]=OutputTable[[#This Row],[ProjectName]])*ProjectInfoTable[NumberOfReplications]))</f>
        <v>1</v>
      </c>
      <c r="K3">
        <f t="array" ref="K3">IFERROR(AVERAGE(IF((OutputTable[GroupByKey]=OutputTable[[#This Row],[GroupByKey]]),(OutputTable[GroupByKey]=OutputTable[[#This Row],[GroupByKey]])*OutputTable[RecordedValue])),0)</f>
        <v>0</v>
      </c>
      <c r="L3">
        <f t="array" ref="L3">IFERROR(_xlfn.STDEV.S(IF((OutputTable[GroupByKey]=OutputTable[[#This Row],[GroupByKey]]),(OutputTable[GroupByKey]=OutputTable[[#This Row],[GroupByKey]])*OutputTable[RecordedValue])),0)</f>
        <v>0</v>
      </c>
      <c r="M3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">
        <f t="array" ref="O3">MIN(IF((OutputTable[GroupByKey]=OutputTable[[#This Row],[GroupByKey]]),(OutputTable[GroupByKey]=OutputTable[[#This Row],[GroupByKey]])*OutputTable[RecordedValue]))</f>
        <v>0</v>
      </c>
      <c r="P3">
        <f t="array" ref="P3">MAX(IF((OutputTable[GroupByKey]=OutputTable[[#This Row],[GroupByKey]]),(OutputTable[GroupByKey]=OutputTable[[#This Row],[GroupByKey]])*OutputTable[RecordedValue]))</f>
        <v>0</v>
      </c>
    </row>
    <row r="4" spans="1:16" x14ac:dyDescent="0.35">
      <c r="A4" t="s">
        <v>66</v>
      </c>
      <c r="B4" t="s">
        <v>129</v>
      </c>
      <c r="C4">
        <v>1</v>
      </c>
      <c r="D4" t="s">
        <v>108</v>
      </c>
      <c r="E4" t="s">
        <v>109</v>
      </c>
      <c r="F4" t="s">
        <v>74</v>
      </c>
      <c r="G4">
        <v>24</v>
      </c>
      <c r="H4">
        <v>0</v>
      </c>
      <c r="I4" t="str">
        <f>OutputTable[[#This Row],[ProjectName]]&amp;OutputTable[[#This Row],[Name]]&amp;OutputTable[[#This Row],[Type]]&amp;OutputTable[[#This Row],[Source]]</f>
        <v>Unnamed ProjectEntity 1.NumberInNumber InEntity</v>
      </c>
      <c r="J4">
        <f t="array" ref="J4">MAX(IF((ProjectInfoTable[ProjectName]=OutputTable[[#This Row],[ProjectName]]),(ProjectInfoTable[ProjectName]=OutputTable[[#This Row],[ProjectName]])*ProjectInfoTable[NumberOfReplications]))</f>
        <v>1</v>
      </c>
      <c r="K4">
        <f t="array" ref="K4">IFERROR(AVERAGE(IF((OutputTable[GroupByKey]=OutputTable[[#This Row],[GroupByKey]]),(OutputTable[GroupByKey]=OutputTable[[#This Row],[GroupByKey]])*OutputTable[RecordedValue])),0)</f>
        <v>24</v>
      </c>
      <c r="L4">
        <f t="array" ref="L4">IFERROR(_xlfn.STDEV.S(IF((OutputTable[GroupByKey]=OutputTable[[#This Row],[GroupByKey]]),(OutputTable[GroupByKey]=OutputTable[[#This Row],[GroupByKey]])*OutputTable[RecordedValue])),0)</f>
        <v>0</v>
      </c>
      <c r="M4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">
        <f t="array" ref="O4">MIN(IF((OutputTable[GroupByKey]=OutputTable[[#This Row],[GroupByKey]]),(OutputTable[GroupByKey]=OutputTable[[#This Row],[GroupByKey]])*OutputTable[RecordedValue]))</f>
        <v>24</v>
      </c>
      <c r="P4">
        <f t="array" ref="P4">MAX(IF((OutputTable[GroupByKey]=OutputTable[[#This Row],[GroupByKey]]),(OutputTable[GroupByKey]=OutputTable[[#This Row],[GroupByKey]])*OutputTable[RecordedValue]))</f>
        <v>24</v>
      </c>
    </row>
    <row r="5" spans="1:16" x14ac:dyDescent="0.35">
      <c r="A5" t="s">
        <v>66</v>
      </c>
      <c r="B5" t="s">
        <v>129</v>
      </c>
      <c r="C5">
        <v>1</v>
      </c>
      <c r="D5" t="s">
        <v>110</v>
      </c>
      <c r="E5" t="s">
        <v>111</v>
      </c>
      <c r="F5" t="s">
        <v>74</v>
      </c>
      <c r="G5">
        <v>22</v>
      </c>
      <c r="H5">
        <v>0</v>
      </c>
      <c r="I5" t="str">
        <f>OutputTable[[#This Row],[ProjectName]]&amp;OutputTable[[#This Row],[Name]]&amp;OutputTable[[#This Row],[Type]]&amp;OutputTable[[#This Row],[Source]]</f>
        <v>Unnamed ProjectEntity 1.NumberOutNumber OutEntity</v>
      </c>
      <c r="J5">
        <f t="array" ref="J5">MAX(IF((ProjectInfoTable[ProjectName]=OutputTable[[#This Row],[ProjectName]]),(ProjectInfoTable[ProjectName]=OutputTable[[#This Row],[ProjectName]])*ProjectInfoTable[NumberOfReplications]))</f>
        <v>1</v>
      </c>
      <c r="K5">
        <f t="array" ref="K5">IFERROR(AVERAGE(IF((OutputTable[GroupByKey]=OutputTable[[#This Row],[GroupByKey]]),(OutputTable[GroupByKey]=OutputTable[[#This Row],[GroupByKey]])*OutputTable[RecordedValue])),0)</f>
        <v>22</v>
      </c>
      <c r="L5">
        <f t="array" ref="L5">IFERROR(_xlfn.STDEV.S(IF((OutputTable[GroupByKey]=OutputTable[[#This Row],[GroupByKey]]),(OutputTable[GroupByKey]=OutputTable[[#This Row],[GroupByKey]])*OutputTable[RecordedValue])),0)</f>
        <v>0</v>
      </c>
      <c r="M5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5">
        <f t="array" ref="O5">MIN(IF((OutputTable[GroupByKey]=OutputTable[[#This Row],[GroupByKey]]),(OutputTable[GroupByKey]=OutputTable[[#This Row],[GroupByKey]])*OutputTable[RecordedValue]))</f>
        <v>22</v>
      </c>
      <c r="P5">
        <f t="array" ref="P5">MAX(IF((OutputTable[GroupByKey]=OutputTable[[#This Row],[GroupByKey]]),(OutputTable[GroupByKey]=OutputTable[[#This Row],[GroupByKey]])*OutputTable[RecordedValue]))</f>
        <v>22</v>
      </c>
    </row>
    <row r="6" spans="1:16" x14ac:dyDescent="0.35">
      <c r="A6" t="s">
        <v>66</v>
      </c>
      <c r="B6" t="s">
        <v>129</v>
      </c>
      <c r="C6">
        <v>1</v>
      </c>
      <c r="D6" t="s">
        <v>112</v>
      </c>
      <c r="E6" t="s">
        <v>105</v>
      </c>
      <c r="F6" t="s">
        <v>83</v>
      </c>
      <c r="G6">
        <v>0</v>
      </c>
      <c r="H6">
        <v>0</v>
      </c>
      <c r="I6" t="str">
        <f>OutputTable[[#This Row],[ProjectName]]&amp;OutputTable[[#This Row],[Name]]&amp;OutputTable[[#This Row],[Type]]&amp;OutputTable[[#This Row],[Source]]</f>
        <v>Unnamed ProjectEt_Servis_Personeli.NumberSeizedTotal Number SeizedResource</v>
      </c>
      <c r="J6">
        <f t="array" ref="J6">MAX(IF((ProjectInfoTable[ProjectName]=OutputTable[[#This Row],[ProjectName]]),(ProjectInfoTable[ProjectName]=OutputTable[[#This Row],[ProjectName]])*ProjectInfoTable[NumberOfReplications]))</f>
        <v>1</v>
      </c>
      <c r="K6">
        <f t="array" ref="K6">IFERROR(AVERAGE(IF((OutputTable[GroupByKey]=OutputTable[[#This Row],[GroupByKey]]),(OutputTable[GroupByKey]=OutputTable[[#This Row],[GroupByKey]])*OutputTable[RecordedValue])),0)</f>
        <v>0</v>
      </c>
      <c r="L6">
        <f t="array" ref="L6">IFERROR(_xlfn.STDEV.S(IF((OutputTable[GroupByKey]=OutputTable[[#This Row],[GroupByKey]]),(OutputTable[GroupByKey]=OutputTable[[#This Row],[GroupByKey]])*OutputTable[RecordedValue])),0)</f>
        <v>0</v>
      </c>
      <c r="M6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6">
        <f t="array" ref="O6">MIN(IF((OutputTable[GroupByKey]=OutputTable[[#This Row],[GroupByKey]]),(OutputTable[GroupByKey]=OutputTable[[#This Row],[GroupByKey]])*OutputTable[RecordedValue]))</f>
        <v>0</v>
      </c>
      <c r="P6">
        <f t="array" ref="P6">MAX(IF((OutputTable[GroupByKey]=OutputTable[[#This Row],[GroupByKey]]),(OutputTable[GroupByKey]=OutputTable[[#This Row],[GroupByKey]])*OutputTable[RecordedValue]))</f>
        <v>0</v>
      </c>
    </row>
    <row r="7" spans="1:16" x14ac:dyDescent="0.35">
      <c r="A7" t="s">
        <v>66</v>
      </c>
      <c r="B7" t="s">
        <v>129</v>
      </c>
      <c r="C7">
        <v>1</v>
      </c>
      <c r="D7" t="s">
        <v>113</v>
      </c>
      <c r="E7" t="s">
        <v>107</v>
      </c>
      <c r="F7" t="s">
        <v>83</v>
      </c>
      <c r="G7">
        <v>0</v>
      </c>
      <c r="H7">
        <v>0</v>
      </c>
      <c r="I7" t="str">
        <f>OutputTable[[#This Row],[ProjectName]]&amp;OutputTable[[#This Row],[Name]]&amp;OutputTable[[#This Row],[Type]]&amp;OutputTable[[#This Row],[Source]]</f>
        <v>Unnamed ProjectEt_Servis_Personeli.ScheduledUtilizationScheduled UtilizationResource</v>
      </c>
      <c r="J7">
        <f t="array" ref="J7">MAX(IF((ProjectInfoTable[ProjectName]=OutputTable[[#This Row],[ProjectName]]),(ProjectInfoTable[ProjectName]=OutputTable[[#This Row],[ProjectName]])*ProjectInfoTable[NumberOfReplications]))</f>
        <v>1</v>
      </c>
      <c r="K7">
        <f t="array" ref="K7">IFERROR(AVERAGE(IF((OutputTable[GroupByKey]=OutputTable[[#This Row],[GroupByKey]]),(OutputTable[GroupByKey]=OutputTable[[#This Row],[GroupByKey]])*OutputTable[RecordedValue])),0)</f>
        <v>0</v>
      </c>
      <c r="L7">
        <f t="array" ref="L7">IFERROR(_xlfn.STDEV.S(IF((OutputTable[GroupByKey]=OutputTable[[#This Row],[GroupByKey]]),(OutputTable[GroupByKey]=OutputTable[[#This Row],[GroupByKey]])*OutputTable[RecordedValue])),0)</f>
        <v>0</v>
      </c>
      <c r="M7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7">
        <f t="array" ref="O7">MIN(IF((OutputTable[GroupByKey]=OutputTable[[#This Row],[GroupByKey]]),(OutputTable[GroupByKey]=OutputTable[[#This Row],[GroupByKey]])*OutputTable[RecordedValue]))</f>
        <v>0</v>
      </c>
      <c r="P7">
        <f t="array" ref="P7">MAX(IF((OutputTable[GroupByKey]=OutputTable[[#This Row],[GroupByKey]]),(OutputTable[GroupByKey]=OutputTable[[#This Row],[GroupByKey]])*OutputTable[RecordedValue]))</f>
        <v>0</v>
      </c>
    </row>
    <row r="8" spans="1:16" x14ac:dyDescent="0.35">
      <c r="A8" t="s">
        <v>66</v>
      </c>
      <c r="B8" t="s">
        <v>129</v>
      </c>
      <c r="C8">
        <v>1</v>
      </c>
      <c r="D8" t="s">
        <v>114</v>
      </c>
      <c r="E8" t="s">
        <v>105</v>
      </c>
      <c r="F8" t="s">
        <v>83</v>
      </c>
      <c r="G8">
        <v>0</v>
      </c>
      <c r="H8">
        <v>0</v>
      </c>
      <c r="I8" t="str">
        <f>OutputTable[[#This Row],[ProjectName]]&amp;OutputTable[[#This Row],[Name]]&amp;OutputTable[[#This Row],[Type]]&amp;OutputTable[[#This Row],[Source]]</f>
        <v>Unnamed ProjectKahve_Alani_Koltuk.NumberSeizedTotal Number SeizedResource</v>
      </c>
      <c r="J8">
        <f t="array" ref="J8">MAX(IF((ProjectInfoTable[ProjectName]=OutputTable[[#This Row],[ProjectName]]),(ProjectInfoTable[ProjectName]=OutputTable[[#This Row],[ProjectName]])*ProjectInfoTable[NumberOfReplications]))</f>
        <v>1</v>
      </c>
      <c r="K8">
        <f t="array" ref="K8">IFERROR(AVERAGE(IF((OutputTable[GroupByKey]=OutputTable[[#This Row],[GroupByKey]]),(OutputTable[GroupByKey]=OutputTable[[#This Row],[GroupByKey]])*OutputTable[RecordedValue])),0)</f>
        <v>0</v>
      </c>
      <c r="L8">
        <f t="array" ref="L8">IFERROR(_xlfn.STDEV.S(IF((OutputTable[GroupByKey]=OutputTable[[#This Row],[GroupByKey]]),(OutputTable[GroupByKey]=OutputTable[[#This Row],[GroupByKey]])*OutputTable[RecordedValue])),0)</f>
        <v>0</v>
      </c>
      <c r="M8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8">
        <f t="array" ref="O8">MIN(IF((OutputTable[GroupByKey]=OutputTable[[#This Row],[GroupByKey]]),(OutputTable[GroupByKey]=OutputTable[[#This Row],[GroupByKey]])*OutputTable[RecordedValue]))</f>
        <v>0</v>
      </c>
      <c r="P8">
        <f t="array" ref="P8">MAX(IF((OutputTable[GroupByKey]=OutputTable[[#This Row],[GroupByKey]]),(OutputTable[GroupByKey]=OutputTable[[#This Row],[GroupByKey]])*OutputTable[RecordedValue]))</f>
        <v>0</v>
      </c>
    </row>
    <row r="9" spans="1:16" x14ac:dyDescent="0.35">
      <c r="A9" t="s">
        <v>66</v>
      </c>
      <c r="B9" t="s">
        <v>129</v>
      </c>
      <c r="C9">
        <v>1</v>
      </c>
      <c r="D9" t="s">
        <v>115</v>
      </c>
      <c r="E9" t="s">
        <v>107</v>
      </c>
      <c r="F9" t="s">
        <v>83</v>
      </c>
      <c r="G9">
        <v>0</v>
      </c>
      <c r="H9">
        <v>0</v>
      </c>
      <c r="I9" t="str">
        <f>OutputTable[[#This Row],[ProjectName]]&amp;OutputTable[[#This Row],[Name]]&amp;OutputTable[[#This Row],[Type]]&amp;OutputTable[[#This Row],[Source]]</f>
        <v>Unnamed ProjectKahve_Alani_Koltuk.ScheduledUtilizationScheduled UtilizationResource</v>
      </c>
      <c r="J9">
        <f t="array" ref="J9">MAX(IF((ProjectInfoTable[ProjectName]=OutputTable[[#This Row],[ProjectName]]),(ProjectInfoTable[ProjectName]=OutputTable[[#This Row],[ProjectName]])*ProjectInfoTable[NumberOfReplications]))</f>
        <v>1</v>
      </c>
      <c r="K9">
        <f t="array" ref="K9">IFERROR(AVERAGE(IF((OutputTable[GroupByKey]=OutputTable[[#This Row],[GroupByKey]]),(OutputTable[GroupByKey]=OutputTable[[#This Row],[GroupByKey]])*OutputTable[RecordedValue])),0)</f>
        <v>0</v>
      </c>
      <c r="L9">
        <f t="array" ref="L9">IFERROR(_xlfn.STDEV.S(IF((OutputTable[GroupByKey]=OutputTable[[#This Row],[GroupByKey]]),(OutputTable[GroupByKey]=OutputTable[[#This Row],[GroupByKey]])*OutputTable[RecordedValue])),0)</f>
        <v>0</v>
      </c>
      <c r="M9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9">
        <f t="array" ref="O9">MIN(IF((OutputTable[GroupByKey]=OutputTable[[#This Row],[GroupByKey]]),(OutputTable[GroupByKey]=OutputTable[[#This Row],[GroupByKey]])*OutputTable[RecordedValue]))</f>
        <v>0</v>
      </c>
      <c r="P9">
        <f t="array" ref="P9">MAX(IF((OutputTable[GroupByKey]=OutputTable[[#This Row],[GroupByKey]]),(OutputTable[GroupByKey]=OutputTable[[#This Row],[GroupByKey]])*OutputTable[RecordedValue]))</f>
        <v>0</v>
      </c>
    </row>
    <row r="10" spans="1:16" x14ac:dyDescent="0.35">
      <c r="A10" t="s">
        <v>66</v>
      </c>
      <c r="B10" t="s">
        <v>129</v>
      </c>
      <c r="C10">
        <v>1</v>
      </c>
      <c r="D10" t="s">
        <v>116</v>
      </c>
      <c r="E10" t="s">
        <v>105</v>
      </c>
      <c r="F10" t="s">
        <v>83</v>
      </c>
      <c r="G10">
        <v>0</v>
      </c>
      <c r="H10">
        <v>0</v>
      </c>
      <c r="I10" t="str">
        <f>OutputTable[[#This Row],[ProjectName]]&amp;OutputTable[[#This Row],[Name]]&amp;OutputTable[[#This Row],[Type]]&amp;OutputTable[[#This Row],[Source]]</f>
        <v>Unnamed ProjectKahve_Makinesi.NumberSeizedTotal Number SeizedResource</v>
      </c>
      <c r="J10">
        <f t="array" ref="J10">MAX(IF((ProjectInfoTable[ProjectName]=OutputTable[[#This Row],[ProjectName]]),(ProjectInfoTable[ProjectName]=OutputTable[[#This Row],[ProjectName]])*ProjectInfoTable[NumberOfReplications]))</f>
        <v>1</v>
      </c>
      <c r="K10">
        <f t="array" ref="K10">IFERROR(AVERAGE(IF((OutputTable[GroupByKey]=OutputTable[[#This Row],[GroupByKey]]),(OutputTable[GroupByKey]=OutputTable[[#This Row],[GroupByKey]])*OutputTable[RecordedValue])),0)</f>
        <v>0</v>
      </c>
      <c r="L10">
        <f t="array" ref="L10">IFERROR(_xlfn.STDEV.S(IF((OutputTable[GroupByKey]=OutputTable[[#This Row],[GroupByKey]]),(OutputTable[GroupByKey]=OutputTable[[#This Row],[GroupByKey]])*OutputTable[RecordedValue])),0)</f>
        <v>0</v>
      </c>
      <c r="M10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0">
        <f t="array" ref="O10">MIN(IF((OutputTable[GroupByKey]=OutputTable[[#This Row],[GroupByKey]]),(OutputTable[GroupByKey]=OutputTable[[#This Row],[GroupByKey]])*OutputTable[RecordedValue]))</f>
        <v>0</v>
      </c>
      <c r="P10">
        <f t="array" ref="P10">MAX(IF((OutputTable[GroupByKey]=OutputTable[[#This Row],[GroupByKey]]),(OutputTable[GroupByKey]=OutputTable[[#This Row],[GroupByKey]])*OutputTable[RecordedValue]))</f>
        <v>0</v>
      </c>
    </row>
    <row r="11" spans="1:16" x14ac:dyDescent="0.35">
      <c r="A11" t="s">
        <v>66</v>
      </c>
      <c r="B11" t="s">
        <v>129</v>
      </c>
      <c r="C11">
        <v>1</v>
      </c>
      <c r="D11" t="s">
        <v>117</v>
      </c>
      <c r="E11" t="s">
        <v>107</v>
      </c>
      <c r="F11" t="s">
        <v>83</v>
      </c>
      <c r="G11">
        <v>0</v>
      </c>
      <c r="H11">
        <v>0</v>
      </c>
      <c r="I11" t="str">
        <f>OutputTable[[#This Row],[ProjectName]]&amp;OutputTable[[#This Row],[Name]]&amp;OutputTable[[#This Row],[Type]]&amp;OutputTable[[#This Row],[Source]]</f>
        <v>Unnamed ProjectKahve_Makinesi.ScheduledUtilizationScheduled UtilizationResource</v>
      </c>
      <c r="J11">
        <f t="array" ref="J11">MAX(IF((ProjectInfoTable[ProjectName]=OutputTable[[#This Row],[ProjectName]]),(ProjectInfoTable[ProjectName]=OutputTable[[#This Row],[ProjectName]])*ProjectInfoTable[NumberOfReplications]))</f>
        <v>1</v>
      </c>
      <c r="K11">
        <f t="array" ref="K11">IFERROR(AVERAGE(IF((OutputTable[GroupByKey]=OutputTable[[#This Row],[GroupByKey]]),(OutputTable[GroupByKey]=OutputTable[[#This Row],[GroupByKey]])*OutputTable[RecordedValue])),0)</f>
        <v>0</v>
      </c>
      <c r="L11">
        <f t="array" ref="L11">IFERROR(_xlfn.STDEV.S(IF((OutputTable[GroupByKey]=OutputTable[[#This Row],[GroupByKey]]),(OutputTable[GroupByKey]=OutputTable[[#This Row],[GroupByKey]])*OutputTable[RecordedValue])),0)</f>
        <v>0</v>
      </c>
      <c r="M1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1">
        <f t="array" ref="O11">MIN(IF((OutputTable[GroupByKey]=OutputTable[[#This Row],[GroupByKey]]),(OutputTable[GroupByKey]=OutputTable[[#This Row],[GroupByKey]])*OutputTable[RecordedValue]))</f>
        <v>0</v>
      </c>
      <c r="P11">
        <f t="array" ref="P11">MAX(IF((OutputTable[GroupByKey]=OutputTable[[#This Row],[GroupByKey]]),(OutputTable[GroupByKey]=OutputTable[[#This Row],[GroupByKey]])*OutputTable[RecordedValue]))</f>
        <v>0</v>
      </c>
    </row>
    <row r="12" spans="1:16" x14ac:dyDescent="0.35">
      <c r="A12" t="s">
        <v>66</v>
      </c>
      <c r="B12" t="s">
        <v>129</v>
      </c>
      <c r="C12">
        <v>1</v>
      </c>
      <c r="D12" t="s">
        <v>118</v>
      </c>
      <c r="E12" t="s">
        <v>105</v>
      </c>
      <c r="F12" t="s">
        <v>83</v>
      </c>
      <c r="G12">
        <v>0</v>
      </c>
      <c r="H12">
        <v>0</v>
      </c>
      <c r="I12" t="str">
        <f>OutputTable[[#This Row],[ProjectName]]&amp;OutputTable[[#This Row],[Name]]&amp;OutputTable[[#This Row],[Type]]&amp;OutputTable[[#This Row],[Source]]</f>
        <v>Unnamed ProjectKantin_Gorevlisi.NumberSeizedTotal Number SeizedResource</v>
      </c>
      <c r="J12">
        <f t="array" ref="J12">MAX(IF((ProjectInfoTable[ProjectName]=OutputTable[[#This Row],[ProjectName]]),(ProjectInfoTable[ProjectName]=OutputTable[[#This Row],[ProjectName]])*ProjectInfoTable[NumberOfReplications]))</f>
        <v>1</v>
      </c>
      <c r="K12">
        <f t="array" ref="K12">IFERROR(AVERAGE(IF((OutputTable[GroupByKey]=OutputTable[[#This Row],[GroupByKey]]),(OutputTable[GroupByKey]=OutputTable[[#This Row],[GroupByKey]])*OutputTable[RecordedValue])),0)</f>
        <v>0</v>
      </c>
      <c r="L12">
        <f t="array" ref="L12">IFERROR(_xlfn.STDEV.S(IF((OutputTable[GroupByKey]=OutputTable[[#This Row],[GroupByKey]]),(OutputTable[GroupByKey]=OutputTable[[#This Row],[GroupByKey]])*OutputTable[RecordedValue])),0)</f>
        <v>0</v>
      </c>
      <c r="M12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2">
        <f t="array" ref="O12">MIN(IF((OutputTable[GroupByKey]=OutputTable[[#This Row],[GroupByKey]]),(OutputTable[GroupByKey]=OutputTable[[#This Row],[GroupByKey]])*OutputTable[RecordedValue]))</f>
        <v>0</v>
      </c>
      <c r="P12">
        <f t="array" ref="P12">MAX(IF((OutputTable[GroupByKey]=OutputTable[[#This Row],[GroupByKey]]),(OutputTable[GroupByKey]=OutputTable[[#This Row],[GroupByKey]])*OutputTable[RecordedValue]))</f>
        <v>0</v>
      </c>
    </row>
    <row r="13" spans="1:16" x14ac:dyDescent="0.35">
      <c r="A13" t="s">
        <v>66</v>
      </c>
      <c r="B13" t="s">
        <v>129</v>
      </c>
      <c r="C13">
        <v>1</v>
      </c>
      <c r="D13" t="s">
        <v>119</v>
      </c>
      <c r="E13" t="s">
        <v>107</v>
      </c>
      <c r="F13" t="s">
        <v>83</v>
      </c>
      <c r="G13">
        <v>0</v>
      </c>
      <c r="H13">
        <v>0</v>
      </c>
      <c r="I13" t="str">
        <f>OutputTable[[#This Row],[ProjectName]]&amp;OutputTable[[#This Row],[Name]]&amp;OutputTable[[#This Row],[Type]]&amp;OutputTable[[#This Row],[Source]]</f>
        <v>Unnamed ProjectKantin_Gorevlisi.ScheduledUtilizationScheduled UtilizationResource</v>
      </c>
      <c r="J13">
        <f t="array" ref="J13">MAX(IF((ProjectInfoTable[ProjectName]=OutputTable[[#This Row],[ProjectName]]),(ProjectInfoTable[ProjectName]=OutputTable[[#This Row],[ProjectName]])*ProjectInfoTable[NumberOfReplications]))</f>
        <v>1</v>
      </c>
      <c r="K13">
        <f t="array" ref="K13">IFERROR(AVERAGE(IF((OutputTable[GroupByKey]=OutputTable[[#This Row],[GroupByKey]]),(OutputTable[GroupByKey]=OutputTable[[#This Row],[GroupByKey]])*OutputTable[RecordedValue])),0)</f>
        <v>0</v>
      </c>
      <c r="L13">
        <f t="array" ref="L13">IFERROR(_xlfn.STDEV.S(IF((OutputTable[GroupByKey]=OutputTable[[#This Row],[GroupByKey]]),(OutputTable[GroupByKey]=OutputTable[[#This Row],[GroupByKey]])*OutputTable[RecordedValue])),0)</f>
        <v>0</v>
      </c>
      <c r="M13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3">
        <f t="array" ref="O13">MIN(IF((OutputTable[GroupByKey]=OutputTable[[#This Row],[GroupByKey]]),(OutputTable[GroupByKey]=OutputTable[[#This Row],[GroupByKey]])*OutputTable[RecordedValue]))</f>
        <v>0</v>
      </c>
      <c r="P13">
        <f t="array" ref="P13">MAX(IF((OutputTable[GroupByKey]=OutputTable[[#This Row],[GroupByKey]]),(OutputTable[GroupByKey]=OutputTable[[#This Row],[GroupByKey]])*OutputTable[RecordedValue]))</f>
        <v>0</v>
      </c>
    </row>
    <row r="14" spans="1:16" x14ac:dyDescent="0.35">
      <c r="A14" t="s">
        <v>66</v>
      </c>
      <c r="B14" t="s">
        <v>129</v>
      </c>
      <c r="C14">
        <v>1</v>
      </c>
      <c r="D14" t="s">
        <v>120</v>
      </c>
      <c r="E14" t="s">
        <v>105</v>
      </c>
      <c r="F14" t="s">
        <v>83</v>
      </c>
      <c r="G14">
        <v>0</v>
      </c>
      <c r="H14">
        <v>0</v>
      </c>
      <c r="I14" t="str">
        <f>OutputTable[[#This Row],[ProjectName]]&amp;OutputTable[[#This Row],[Name]]&amp;OutputTable[[#This Row],[Type]]&amp;OutputTable[[#This Row],[Source]]</f>
        <v>Unnamed ProjectParmak Ýzi Cihaz.NumberSeizedTotal Number SeizedResource</v>
      </c>
      <c r="J14">
        <f t="array" ref="J14">MAX(IF((ProjectInfoTable[ProjectName]=OutputTable[[#This Row],[ProjectName]]),(ProjectInfoTable[ProjectName]=OutputTable[[#This Row],[ProjectName]])*ProjectInfoTable[NumberOfReplications]))</f>
        <v>1</v>
      </c>
      <c r="K14">
        <f t="array" ref="K14">IFERROR(AVERAGE(IF((OutputTable[GroupByKey]=OutputTable[[#This Row],[GroupByKey]]),(OutputTable[GroupByKey]=OutputTable[[#This Row],[GroupByKey]])*OutputTable[RecordedValue])),0)</f>
        <v>0</v>
      </c>
      <c r="L14">
        <f t="array" ref="L14">IFERROR(_xlfn.STDEV.S(IF((OutputTable[GroupByKey]=OutputTable[[#This Row],[GroupByKey]]),(OutputTable[GroupByKey]=OutputTable[[#This Row],[GroupByKey]])*OutputTable[RecordedValue])),0)</f>
        <v>0</v>
      </c>
      <c r="M14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4">
        <f t="array" ref="O14">MIN(IF((OutputTable[GroupByKey]=OutputTable[[#This Row],[GroupByKey]]),(OutputTable[GroupByKey]=OutputTable[[#This Row],[GroupByKey]])*OutputTable[RecordedValue]))</f>
        <v>0</v>
      </c>
      <c r="P14">
        <f t="array" ref="P14">MAX(IF((OutputTable[GroupByKey]=OutputTable[[#This Row],[GroupByKey]]),(OutputTable[GroupByKey]=OutputTable[[#This Row],[GroupByKey]])*OutputTable[RecordedValue]))</f>
        <v>0</v>
      </c>
    </row>
    <row r="15" spans="1:16" x14ac:dyDescent="0.35">
      <c r="A15" t="s">
        <v>66</v>
      </c>
      <c r="B15" t="s">
        <v>129</v>
      </c>
      <c r="C15">
        <v>1</v>
      </c>
      <c r="D15" t="s">
        <v>121</v>
      </c>
      <c r="E15" t="s">
        <v>107</v>
      </c>
      <c r="F15" t="s">
        <v>83</v>
      </c>
      <c r="G15">
        <v>0</v>
      </c>
      <c r="H15">
        <v>0</v>
      </c>
      <c r="I15" t="str">
        <f>OutputTable[[#This Row],[ProjectName]]&amp;OutputTable[[#This Row],[Name]]&amp;OutputTable[[#This Row],[Type]]&amp;OutputTable[[#This Row],[Source]]</f>
        <v>Unnamed ProjectParmak Ýzi Cihaz.ScheduledUtilizationScheduled UtilizationResource</v>
      </c>
      <c r="J15">
        <f t="array" ref="J15">MAX(IF((ProjectInfoTable[ProjectName]=OutputTable[[#This Row],[ProjectName]]),(ProjectInfoTable[ProjectName]=OutputTable[[#This Row],[ProjectName]])*ProjectInfoTable[NumberOfReplications]))</f>
        <v>1</v>
      </c>
      <c r="K15">
        <f t="array" ref="K15">IFERROR(AVERAGE(IF((OutputTable[GroupByKey]=OutputTable[[#This Row],[GroupByKey]]),(OutputTable[GroupByKey]=OutputTable[[#This Row],[GroupByKey]])*OutputTable[RecordedValue])),0)</f>
        <v>0</v>
      </c>
      <c r="L15">
        <f t="array" ref="L15">IFERROR(_xlfn.STDEV.S(IF((OutputTable[GroupByKey]=OutputTable[[#This Row],[GroupByKey]]),(OutputTable[GroupByKey]=OutputTable[[#This Row],[GroupByKey]])*OutputTable[RecordedValue])),0)</f>
        <v>0</v>
      </c>
      <c r="M15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5">
        <f t="array" ref="O15">MIN(IF((OutputTable[GroupByKey]=OutputTable[[#This Row],[GroupByKey]]),(OutputTable[GroupByKey]=OutputTable[[#This Row],[GroupByKey]])*OutputTable[RecordedValue]))</f>
        <v>0</v>
      </c>
      <c r="P15">
        <f t="array" ref="P15">MAX(IF((OutputTable[GroupByKey]=OutputTable[[#This Row],[GroupByKey]]),(OutputTable[GroupByKey]=OutputTable[[#This Row],[GroupByKey]])*OutputTable[RecordedValue]))</f>
        <v>0</v>
      </c>
    </row>
    <row r="16" spans="1:16" x14ac:dyDescent="0.35">
      <c r="A16" t="s">
        <v>66</v>
      </c>
      <c r="B16" t="s">
        <v>129</v>
      </c>
      <c r="C16">
        <v>1</v>
      </c>
      <c r="D16" t="s">
        <v>122</v>
      </c>
      <c r="E16" t="s">
        <v>105</v>
      </c>
      <c r="F16" t="s">
        <v>83</v>
      </c>
      <c r="G16">
        <v>0</v>
      </c>
      <c r="H16">
        <v>0</v>
      </c>
      <c r="I16" t="str">
        <f>OutputTable[[#This Row],[ProjectName]]&amp;OutputTable[[#This Row],[Name]]&amp;OutputTable[[#This Row],[Type]]&amp;OutputTable[[#This Row],[Source]]</f>
        <v>Unnamed ProjectSebze_Servis_Personeli.NumberSeizedTotal Number SeizedResource</v>
      </c>
      <c r="J16">
        <f t="array" ref="J16">MAX(IF((ProjectInfoTable[ProjectName]=OutputTable[[#This Row],[ProjectName]]),(ProjectInfoTable[ProjectName]=OutputTable[[#This Row],[ProjectName]])*ProjectInfoTable[NumberOfReplications]))</f>
        <v>1</v>
      </c>
      <c r="K16">
        <f t="array" ref="K16">IFERROR(AVERAGE(IF((OutputTable[GroupByKey]=OutputTable[[#This Row],[GroupByKey]]),(OutputTable[GroupByKey]=OutputTable[[#This Row],[GroupByKey]])*OutputTable[RecordedValue])),0)</f>
        <v>0</v>
      </c>
      <c r="L16">
        <f t="array" ref="L16">IFERROR(_xlfn.STDEV.S(IF((OutputTable[GroupByKey]=OutputTable[[#This Row],[GroupByKey]]),(OutputTable[GroupByKey]=OutputTable[[#This Row],[GroupByKey]])*OutputTable[RecordedValue])),0)</f>
        <v>0</v>
      </c>
      <c r="M16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6">
        <f t="array" ref="O16">MIN(IF((OutputTable[GroupByKey]=OutputTable[[#This Row],[GroupByKey]]),(OutputTable[GroupByKey]=OutputTable[[#This Row],[GroupByKey]])*OutputTable[RecordedValue]))</f>
        <v>0</v>
      </c>
      <c r="P16">
        <f t="array" ref="P16">MAX(IF((OutputTable[GroupByKey]=OutputTable[[#This Row],[GroupByKey]]),(OutputTable[GroupByKey]=OutputTable[[#This Row],[GroupByKey]])*OutputTable[RecordedValue]))</f>
        <v>0</v>
      </c>
    </row>
    <row r="17" spans="1:16" x14ac:dyDescent="0.35">
      <c r="A17" t="s">
        <v>66</v>
      </c>
      <c r="B17" t="s">
        <v>129</v>
      </c>
      <c r="C17">
        <v>1</v>
      </c>
      <c r="D17" t="s">
        <v>123</v>
      </c>
      <c r="E17" t="s">
        <v>107</v>
      </c>
      <c r="F17" t="s">
        <v>83</v>
      </c>
      <c r="G17">
        <v>0</v>
      </c>
      <c r="H17">
        <v>0</v>
      </c>
      <c r="I17" t="str">
        <f>OutputTable[[#This Row],[ProjectName]]&amp;OutputTable[[#This Row],[Name]]&amp;OutputTable[[#This Row],[Type]]&amp;OutputTable[[#This Row],[Source]]</f>
        <v>Unnamed ProjectSebze_Servis_Personeli.ScheduledUtilizationScheduled UtilizationResource</v>
      </c>
      <c r="J17">
        <f t="array" ref="J17">MAX(IF((ProjectInfoTable[ProjectName]=OutputTable[[#This Row],[ProjectName]]),(ProjectInfoTable[ProjectName]=OutputTable[[#This Row],[ProjectName]])*ProjectInfoTable[NumberOfReplications]))</f>
        <v>1</v>
      </c>
      <c r="K17">
        <f t="array" ref="K17">IFERROR(AVERAGE(IF((OutputTable[GroupByKey]=OutputTable[[#This Row],[GroupByKey]]),(OutputTable[GroupByKey]=OutputTable[[#This Row],[GroupByKey]])*OutputTable[RecordedValue])),0)</f>
        <v>0</v>
      </c>
      <c r="L17">
        <f t="array" ref="L17">IFERROR(_xlfn.STDEV.S(IF((OutputTable[GroupByKey]=OutputTable[[#This Row],[GroupByKey]]),(OutputTable[GroupByKey]=OutputTable[[#This Row],[GroupByKey]])*OutputTable[RecordedValue])),0)</f>
        <v>0</v>
      </c>
      <c r="M17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7">
        <f t="array" ref="O17">MIN(IF((OutputTable[GroupByKey]=OutputTable[[#This Row],[GroupByKey]]),(OutputTable[GroupByKey]=OutputTable[[#This Row],[GroupByKey]])*OutputTable[RecordedValue]))</f>
        <v>0</v>
      </c>
      <c r="P17">
        <f t="array" ref="P17">MAX(IF((OutputTable[GroupByKey]=OutputTable[[#This Row],[GroupByKey]]),(OutputTable[GroupByKey]=OutputTable[[#This Row],[GroupByKey]])*OutputTable[RecordedValue]))</f>
        <v>0</v>
      </c>
    </row>
    <row r="18" spans="1:16" x14ac:dyDescent="0.35">
      <c r="A18" t="s">
        <v>66</v>
      </c>
      <c r="B18" t="s">
        <v>129</v>
      </c>
      <c r="C18">
        <v>1</v>
      </c>
      <c r="D18" t="s">
        <v>124</v>
      </c>
      <c r="E18" t="s">
        <v>111</v>
      </c>
      <c r="F18" t="s">
        <v>125</v>
      </c>
      <c r="G18">
        <v>22</v>
      </c>
      <c r="H18">
        <v>0</v>
      </c>
      <c r="I18" t="str">
        <f>OutputTable[[#This Row],[ProjectName]]&amp;OutputTable[[#This Row],[Name]]&amp;OutputTable[[#This Row],[Type]]&amp;OutputTable[[#This Row],[Source]]</f>
        <v>Unnamed ProjectSystem.NumberOutNumber OutSystem</v>
      </c>
      <c r="J18">
        <f t="array" ref="J18">MAX(IF((ProjectInfoTable[ProjectName]=OutputTable[[#This Row],[ProjectName]]),(ProjectInfoTable[ProjectName]=OutputTable[[#This Row],[ProjectName]])*ProjectInfoTable[NumberOfReplications]))</f>
        <v>1</v>
      </c>
      <c r="K18">
        <f t="array" ref="K18">IFERROR(AVERAGE(IF((OutputTable[GroupByKey]=OutputTable[[#This Row],[GroupByKey]]),(OutputTable[GroupByKey]=OutputTable[[#This Row],[GroupByKey]])*OutputTable[RecordedValue])),0)</f>
        <v>22</v>
      </c>
      <c r="L18">
        <f t="array" ref="L18">IFERROR(_xlfn.STDEV.S(IF((OutputTable[GroupByKey]=OutputTable[[#This Row],[GroupByKey]]),(OutputTable[GroupByKey]=OutputTable[[#This Row],[GroupByKey]])*OutputTable[RecordedValue])),0)</f>
        <v>0</v>
      </c>
      <c r="M18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8">
        <f t="array" ref="O18">MIN(IF((OutputTable[GroupByKey]=OutputTable[[#This Row],[GroupByKey]]),(OutputTable[GroupByKey]=OutputTable[[#This Row],[GroupByKey]])*OutputTable[RecordedValue]))</f>
        <v>22</v>
      </c>
      <c r="P18">
        <f t="array" ref="P18">MAX(IF((OutputTable[GroupByKey]=OutputTable[[#This Row],[GroupByKey]]),(OutputTable[GroupByKey]=OutputTable[[#This Row],[GroupByKey]])*OutputTable[RecordedValue]))</f>
        <v>22</v>
      </c>
    </row>
    <row r="19" spans="1:16" x14ac:dyDescent="0.35">
      <c r="A19" t="s">
        <v>66</v>
      </c>
      <c r="B19" t="s">
        <v>129</v>
      </c>
      <c r="C19">
        <v>1</v>
      </c>
      <c r="D19" t="s">
        <v>126</v>
      </c>
      <c r="E19" t="s">
        <v>105</v>
      </c>
      <c r="F19" t="s">
        <v>83</v>
      </c>
      <c r="G19">
        <v>0</v>
      </c>
      <c r="H19">
        <v>0</v>
      </c>
      <c r="I19" t="str">
        <f>OutputTable[[#This Row],[ProjectName]]&amp;OutputTable[[#This Row],[Name]]&amp;OutputTable[[#This Row],[Type]]&amp;OutputTable[[#This Row],[Source]]</f>
        <v>Unnamed Projectsandaye ve masa.NumberSeizedTotal Number SeizedResource</v>
      </c>
      <c r="J19">
        <f t="array" ref="J19">MAX(IF((ProjectInfoTable[ProjectName]=OutputTable[[#This Row],[ProjectName]]),(ProjectInfoTable[ProjectName]=OutputTable[[#This Row],[ProjectName]])*ProjectInfoTable[NumberOfReplications]))</f>
        <v>1</v>
      </c>
      <c r="K19">
        <f t="array" ref="K19">IFERROR(AVERAGE(IF((OutputTable[GroupByKey]=OutputTable[[#This Row],[GroupByKey]]),(OutputTable[GroupByKey]=OutputTable[[#This Row],[GroupByKey]])*OutputTable[RecordedValue])),0)</f>
        <v>0</v>
      </c>
      <c r="L19">
        <f t="array" ref="L19">IFERROR(_xlfn.STDEV.S(IF((OutputTable[GroupByKey]=OutputTable[[#This Row],[GroupByKey]]),(OutputTable[GroupByKey]=OutputTable[[#This Row],[GroupByKey]])*OutputTable[RecordedValue])),0)</f>
        <v>0</v>
      </c>
      <c r="M19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9">
        <f t="array" ref="O19">MIN(IF((OutputTable[GroupByKey]=OutputTable[[#This Row],[GroupByKey]]),(OutputTable[GroupByKey]=OutputTable[[#This Row],[GroupByKey]])*OutputTable[RecordedValue]))</f>
        <v>0</v>
      </c>
      <c r="P19">
        <f t="array" ref="P19">MAX(IF((OutputTable[GroupByKey]=OutputTable[[#This Row],[GroupByKey]]),(OutputTable[GroupByKey]=OutputTable[[#This Row],[GroupByKey]])*OutputTable[RecordedValue]))</f>
        <v>0</v>
      </c>
    </row>
    <row r="20" spans="1:16" x14ac:dyDescent="0.35">
      <c r="A20" t="s">
        <v>66</v>
      </c>
      <c r="B20" t="s">
        <v>129</v>
      </c>
      <c r="C20">
        <v>1</v>
      </c>
      <c r="D20" t="s">
        <v>127</v>
      </c>
      <c r="E20" t="s">
        <v>107</v>
      </c>
      <c r="F20" t="s">
        <v>83</v>
      </c>
      <c r="G20">
        <v>0</v>
      </c>
      <c r="H20">
        <v>0</v>
      </c>
      <c r="I20" t="str">
        <f>OutputTable[[#This Row],[ProjectName]]&amp;OutputTable[[#This Row],[Name]]&amp;OutputTable[[#This Row],[Type]]&amp;OutputTable[[#This Row],[Source]]</f>
        <v>Unnamed Projectsandaye ve masa.ScheduledUtilizationScheduled UtilizationResource</v>
      </c>
      <c r="J20">
        <f t="array" ref="J20">MAX(IF((ProjectInfoTable[ProjectName]=OutputTable[[#This Row],[ProjectName]]),(ProjectInfoTable[ProjectName]=OutputTable[[#This Row],[ProjectName]])*ProjectInfoTable[NumberOfReplications]))</f>
        <v>1</v>
      </c>
      <c r="K20">
        <f t="array" ref="K20">IFERROR(AVERAGE(IF((OutputTable[GroupByKey]=OutputTable[[#This Row],[GroupByKey]]),(OutputTable[GroupByKey]=OutputTable[[#This Row],[GroupByKey]])*OutputTable[RecordedValue])),0)</f>
        <v>0</v>
      </c>
      <c r="L20">
        <f t="array" ref="L20">IFERROR(_xlfn.STDEV.S(IF((OutputTable[GroupByKey]=OutputTable[[#This Row],[GroupByKey]]),(OutputTable[GroupByKey]=OutputTable[[#This Row],[GroupByKey]])*OutputTable[RecordedValue])),0)</f>
        <v>0</v>
      </c>
      <c r="M20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0">
        <f t="array" ref="O20">MIN(IF((OutputTable[GroupByKey]=OutputTable[[#This Row],[GroupByKey]]),(OutputTable[GroupByKey]=OutputTable[[#This Row],[GroupByKey]])*OutputTable[RecordedValue]))</f>
        <v>0</v>
      </c>
      <c r="P20">
        <f t="array" ref="P20">MAX(IF((OutputTable[GroupByKey]=OutputTable[[#This Row],[GroupByKey]]),(OutputTable[GroupByKey]=OutputTable[[#This Row],[GroupByKey]])*OutputTable[RecordedValue]))</f>
        <v>0</v>
      </c>
    </row>
  </sheetData>
  <phoneticPr fontId="2" type="noConversion"/>
  <conditionalFormatting sqref="I2:P20">
    <cfRule type="expression" dxfId="12" priority="2">
      <formula>MOD(ROW(),2)=0</formula>
    </cfRule>
  </conditionalFormatting>
  <conditionalFormatting sqref="N2:N20">
    <cfRule type="expression" dxfId="11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31"/>
  <sheetViews>
    <sheetView workbookViewId="0">
      <selection activeCell="A2" sqref="A2"/>
    </sheetView>
  </sheetViews>
  <sheetFormatPr defaultRowHeight="14.5" x14ac:dyDescent="0.35"/>
  <cols>
    <col min="1" max="1" width="14" customWidth="1"/>
    <col min="2" max="2" width="21.08984375" customWidth="1"/>
    <col min="3" max="3" width="12.36328125" customWidth="1"/>
    <col min="4" max="4" width="8" customWidth="1"/>
    <col min="5" max="5" width="10.54296875" customWidth="1"/>
    <col min="6" max="6" width="8.7265625" customWidth="1"/>
    <col min="7" max="7" width="20.26953125" customWidth="1"/>
    <col min="8" max="8" width="21.08984375" customWidth="1"/>
    <col min="9" max="9" width="23.1796875" customWidth="1"/>
    <col min="10" max="10" width="24.54296875" customWidth="1"/>
    <col min="11" max="11" width="15" customWidth="1"/>
    <col min="12" max="12" width="13.36328125" customWidth="1"/>
    <col min="13" max="13" width="28.36328125" customWidth="1"/>
    <col min="14" max="14" width="29.1796875" customWidth="1"/>
    <col min="15" max="15" width="16.08984375" customWidth="1"/>
    <col min="16" max="16" width="27.08984375" customWidth="1"/>
    <col min="17" max="17" width="28" customWidth="1"/>
    <col min="18" max="18" width="29.36328125" bestFit="1" customWidth="1"/>
    <col min="19" max="19" width="28.36328125" bestFit="1" customWidth="1"/>
    <col min="20" max="20" width="26.36328125" bestFit="1" customWidth="1"/>
    <col min="21" max="21" width="29.90625" bestFit="1" customWidth="1"/>
    <col min="22" max="22" width="31.90625" bestFit="1" customWidth="1"/>
    <col min="23" max="23" width="32.08984375" bestFit="1" customWidth="1"/>
  </cols>
  <sheetData>
    <row r="1" spans="1:17" x14ac:dyDescent="0.3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67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35">
      <c r="B17" s="3"/>
    </row>
    <row r="18" spans="2:2" x14ac:dyDescent="0.35">
      <c r="B18" s="3"/>
    </row>
    <row r="19" spans="2:2" x14ac:dyDescent="0.35">
      <c r="B19" s="3"/>
    </row>
    <row r="20" spans="2:2" x14ac:dyDescent="0.35">
      <c r="B20" s="3"/>
    </row>
    <row r="21" spans="2:2" x14ac:dyDescent="0.35">
      <c r="B21" s="3"/>
    </row>
    <row r="22" spans="2:2" x14ac:dyDescent="0.35">
      <c r="B22" s="3"/>
    </row>
    <row r="23" spans="2:2" x14ac:dyDescent="0.35">
      <c r="B23" s="3"/>
    </row>
    <row r="24" spans="2:2" x14ac:dyDescent="0.35">
      <c r="B24" s="3"/>
    </row>
    <row r="25" spans="2:2" x14ac:dyDescent="0.35">
      <c r="B25" s="3"/>
    </row>
    <row r="26" spans="2:2" x14ac:dyDescent="0.35">
      <c r="B26" s="3"/>
    </row>
    <row r="27" spans="2:2" x14ac:dyDescent="0.35">
      <c r="B27" s="3"/>
    </row>
    <row r="28" spans="2:2" x14ac:dyDescent="0.35">
      <c r="B28" s="3"/>
    </row>
    <row r="29" spans="2:2" x14ac:dyDescent="0.35">
      <c r="B29" s="3"/>
    </row>
    <row r="30" spans="2:2" x14ac:dyDescent="0.35">
      <c r="B30" s="3"/>
    </row>
    <row r="31" spans="2:2" x14ac:dyDescent="0.35">
      <c r="B31" s="3"/>
    </row>
  </sheetData>
  <phoneticPr fontId="2" type="noConversion"/>
  <conditionalFormatting sqref="L17:Q17 R45:W45 L31:W31 L1:Q2">
    <cfRule type="expression" dxfId="10" priority="3">
      <formula>MOD(ROW(),2)=0</formula>
    </cfRule>
  </conditionalFormatting>
  <conditionalFormatting sqref="H2">
    <cfRule type="expression" dxfId="9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busra</cp:lastModifiedBy>
  <cp:lastPrinted>2022-03-22T10:33:10Z</cp:lastPrinted>
  <dcterms:created xsi:type="dcterms:W3CDTF">2020-06-29T21:30:31Z</dcterms:created>
  <dcterms:modified xsi:type="dcterms:W3CDTF">2026-05-03T12:37:57Z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14c1950-b3a8-4278-88f1-6df69d73b9d5_Enabled">
    <vt:lpwstr>true</vt:lpwstr>
  </property>
  <property fmtid="{D5CDD505-2E9C-101B-9397-08002B2CF9AE}" pid="3" name="MSIP_Label_e14c1950-b3a8-4278-88f1-6df69d73b9d5_SetDate">
    <vt:lpwstr>2024-01-31T15:04:47Z</vt:lpwstr>
  </property>
  <property fmtid="{D5CDD505-2E9C-101B-9397-08002B2CF9AE}" pid="4" name="MSIP_Label_e14c1950-b3a8-4278-88f1-6df69d73b9d5_Method">
    <vt:lpwstr>Standard</vt:lpwstr>
  </property>
  <property fmtid="{D5CDD505-2E9C-101B-9397-08002B2CF9AE}" pid="5" name="MSIP_Label_e14c1950-b3a8-4278-88f1-6df69d73b9d5_Name">
    <vt:lpwstr>e14c1950-b3a8-4278-88f1-6df69d73b9d5</vt:lpwstr>
  </property>
  <property fmtid="{D5CDD505-2E9C-101B-9397-08002B2CF9AE}" pid="6" name="MSIP_Label_e14c1950-b3a8-4278-88f1-6df69d73b9d5_SiteId">
    <vt:lpwstr>855b093e-7340-45c7-9f0c-96150415893e</vt:lpwstr>
  </property>
  <property fmtid="{D5CDD505-2E9C-101B-9397-08002B2CF9AE}" pid="7" name="MSIP_Label_e14c1950-b3a8-4278-88f1-6df69d73b9d5_ActionId">
    <vt:lpwstr>1067fc30-94ed-4383-8c96-2d26f0045600</vt:lpwstr>
  </property>
  <property fmtid="{D5CDD505-2E9C-101B-9397-08002B2CF9AE}" pid="8" name="MSIP_Label_e14c1950-b3a8-4278-88f1-6df69d73b9d5_ContentBits">
    <vt:lpwstr>0</vt:lpwstr>
  </property>
</Properties>
</file>